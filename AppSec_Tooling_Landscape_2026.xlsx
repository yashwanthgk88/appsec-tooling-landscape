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Executive Summary" sheetId="2" state="visible" r:id="rId4"/>
    <sheet name="Scoring Matrix" sheetId="3" state="visible" r:id="rId5"/>
    <sheet name="AI Capabilities" sheetId="4" state="visible" r:id="rId6"/>
    <sheet name="SAST" sheetId="5" state="visible" r:id="rId7"/>
    <sheet name="SCA" sheetId="6" state="visible" r:id="rId8"/>
    <sheet name="Secret Scanning" sheetId="7" state="visible" r:id="rId9"/>
    <sheet name="SBOM &amp; AI BOM" sheetId="8" state="visible" r:id="rId10"/>
    <sheet name="Threat Modeling" sheetId="9" state="visible" r:id="rId11"/>
    <sheet name="Security Requirements" sheetId="10" state="visible" r:id="rId12"/>
    <sheet name="Platforms &amp; ASPM" sheetId="11" state="visible" r:id="rId13"/>
    <sheet name="Feature Updates" sheetId="12" state="visible" r:id="rId14"/>
    <sheet name="OWASP Projects" sheetId="13" state="visible" r:id="rId15"/>
    <sheet name="New Entrants" sheetId="14" state="visible" r:id="rId16"/>
    <sheet name="Market Notes" sheetId="15" state="visible" r:id="rId17"/>
    <sheet name="Sources &amp; Caveats" sheetId="16" state="visible" r:id="rId18"/>
  </sheets>
  <definedNames>
    <definedName function="false" hidden="true" localSheetId="3" name="_xlnm._FilterDatabase" vbProcedure="false">'AI Capabilities'!$A$4:$H$245</definedName>
    <definedName function="false" hidden="true" localSheetId="11" name="_xlnm._FilterDatabase" vbProcedure="false">'Feature Updates'!$A$4:$F$236</definedName>
    <definedName function="false" hidden="true" localSheetId="14" name="_xlnm._FilterDatabase" vbProcedure="false">'Market Notes'!$A$4:$C$45</definedName>
    <definedName function="false" hidden="true" localSheetId="13" name="_xlnm._FilterDatabase" vbProcedure="false">'New Entrants'!$A$4:$G$106</definedName>
    <definedName function="false" hidden="true" localSheetId="12" name="_xlnm._FilterDatabase" vbProcedure="false">'OWASP Projects'!$A$4:$G$61</definedName>
    <definedName function="false" hidden="true" localSheetId="10" name="_xlnm._FilterDatabase" vbProcedure="false">'Platforms &amp; ASPM'!$A$4:$W$47</definedName>
    <definedName function="false" hidden="true" localSheetId="4" name="_xlnm._FilterDatabase" vbProcedure="false">SAST!$A$4:$W$37</definedName>
    <definedName function="false" hidden="true" localSheetId="7" name="_xlnm._FilterDatabase" vbProcedure="false">'SBOM &amp; AI BOM'!$A$4:$W$46</definedName>
    <definedName function="false" hidden="true" localSheetId="5" name="_xlnm._FilterDatabase" vbProcedure="false">SCA!$A$4:$W$37</definedName>
    <definedName function="false" hidden="true" localSheetId="2" name="_xlnm._FilterDatabase" vbProcedure="false">'Scoring Matrix'!$A$14:$M$255</definedName>
    <definedName function="false" hidden="true" localSheetId="6" name="_xlnm._FilterDatabase" vbProcedure="false">'Secret Scanning'!$A$4:$W$29</definedName>
    <definedName function="false" hidden="true" localSheetId="9" name="_xlnm._FilterDatabase" vbProcedure="false">'Security Requirements'!$A$4:$W$32</definedName>
    <definedName function="false" hidden="true" localSheetId="8" name="_xlnm._FilterDatabase" vbProcedure="false">'Threat Modeling'!$A$4:$W$41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<sst xmlns="http://schemas.openxmlformats.org/spreadsheetml/2006/main" count="11203" uniqueCount="4677">
  <si>
    <t xml:space="preserve">AppSec Tooling Landscape 2026</t>
  </si>
  <si>
    <t xml:space="preserve">Internal analysis for the AppSec team. Research cut-off 2026-10-19. Prepared for the 2027 priority "Better Tooling and AI Leverage".</t>
  </si>
  <si>
    <t xml:space="preserve">Purpose</t>
  </si>
  <si>
    <t xml:space="preserve">Compare every credible tool per category (commercial, open-core, open source, OWASP) with a hard look at AI capabilities, so the team can decide re-tooling, AI adoption across solutions, and the 40% effort-reduction benchmark.</t>
  </si>
  <si>
    <t xml:space="preserve">Scope</t>
  </si>
  <si>
    <t xml:space="preserve">SAST, SCA, Secret Scanning, SBOM and AI BOM, Threat Modeling (incl. AI-system threat modeling), Security Requirements, and a Platforms and ASPM tab because most vendors now bundle. 250 tool rows in total.</t>
  </si>
  <si>
    <t xml:space="preserve">How to read a category tab</t>
  </si>
  <si>
    <t xml:space="preserve">One row per tool. Columns: identity, deployment, coverage, key features, AI capabilities (broken out by capability type), AI maturity flag, integrations, sectors and reference customers, analyst position, cons, pricing model and indicative cost, best fit, last verified, sources. Filters are on; freeze panes keep tool names visible.</t>
  </si>
  <si>
    <t xml:space="preserve">AI maturity flag</t>
  </si>
  <si>
    <t xml:space="preserve">GA = generally available and documented by vendor. Beta or Preview = announced, gated or limited. Marketing claim = named on the website but no documentation or product behaviour found. None = no AI capability for that category. Cells are colour-coded.</t>
  </si>
  <si>
    <t xml:space="preserve">Licensing cost column</t>
  </si>
  <si>
    <t xml:space="preserve">Public information only. No internal quotes are used. Pricing confidence: High = vendor-published list price; Medium = credible third party (marketplace listing, G2, Vendr); Low = anecdotal or single source; None = not publicly disclosed. Enterprise contracts for Checkmarx, Veracode, Black Duck, Fortify, HCL, Sonatype, JFrog are quote-only.</t>
  </si>
  <si>
    <t xml:space="preserve">Sectors and reference customers</t>
  </si>
  <si>
    <t xml:space="preserve">Vendor-claimed. Case studies show who bought, not who is satisfied. Treat as an indicator of market presence only.</t>
  </si>
  <si>
    <t xml:space="preserve">Scoring Matrix</t>
  </si>
  <si>
    <t xml:space="preserve">Rule-based scores derived from the data columns (see rules on that sheet), weighted by editable weights in the blue cells. Add your own adjustment in the "Team adjustment" column after hands-on evaluation. Totals are formulas and recalculate.</t>
  </si>
  <si>
    <t xml:space="preserve">OWASP</t>
  </si>
  <si>
    <t xml:space="preserve">Every category tab is paired with the current OWASP projects and standards on the "OWASP Projects" sheet: status, latest version, link, and how the team should use it.</t>
  </si>
  <si>
    <t xml:space="preserve">New entrants</t>
  </si>
  <si>
    <t xml:space="preserve">Tools launched or funded in 2025 to 2026 are flagged in each tab and consolidated on the "New Entrants" sheet with a reference link each.</t>
  </si>
  <si>
    <t xml:space="preserve">Verification</t>
  </si>
  <si>
    <t xml:space="preserve">Every row carries a last-verified date and 3+ source URLs. Items the research could not confirm are marked "unverified" or "not publicly disclosed" in the cell rather than guessed. Known caveats are listed on "Sources &amp; Caveats". Re-verify AI claims before external use; this market changes monthly.</t>
  </si>
  <si>
    <t xml:space="preserve">Legend</t>
  </si>
  <si>
    <t xml:space="preserve">Blue text = editable input (Scoring Matrix weights and adjustments). Green fill = GA AI. Amber = Beta or Preview. Red = Marketing claim. Grey = None.</t>
  </si>
  <si>
    <t xml:space="preserve">Sheet index</t>
  </si>
  <si>
    <t xml:space="preserve">Executive Summary</t>
  </si>
  <si>
    <t xml:space="preserve">Top 3 per category, best OSS pick, consolidation view</t>
  </si>
  <si>
    <t xml:space="preserve">All tools scored, weighted, sortable</t>
  </si>
  <si>
    <t xml:space="preserve">AI Capabilities</t>
  </si>
  <si>
    <t xml:space="preserve">Cross-category view of every tool's AI capability and maturity</t>
  </si>
  <si>
    <t xml:space="preserve">SAST</t>
  </si>
  <si>
    <t xml:space="preserve">Static analysis</t>
  </si>
  <si>
    <t xml:space="preserve">SCA</t>
  </si>
  <si>
    <t xml:space="preserve">Software composition analysis</t>
  </si>
  <si>
    <t xml:space="preserve">Secret Scanning</t>
  </si>
  <si>
    <t xml:space="preserve">Secrets and NHI detection</t>
  </si>
  <si>
    <t xml:space="preserve">SBOM &amp; AI BOM</t>
  </si>
  <si>
    <t xml:space="preserve">SBOM generation, management, AI BOM and model scanning</t>
  </si>
  <si>
    <t xml:space="preserve">Threat Modeling</t>
  </si>
  <si>
    <t xml:space="preserve">Tools, AI assistants and AI-system frameworks</t>
  </si>
  <si>
    <t xml:space="preserve">Security Requirements</t>
  </si>
  <si>
    <t xml:space="preserve">Requirements generation, standards and tooling</t>
  </si>
  <si>
    <t xml:space="preserve">Platforms &amp; ASPM</t>
  </si>
  <si>
    <t xml:space="preserve">Bundled platforms, ASPM, AI AppSec agents</t>
  </si>
  <si>
    <t xml:space="preserve">Feature Updates</t>
  </si>
  <si>
    <t xml:space="preserve">Dated feature launches, GA announcements, acquisitions and pricing changes per tool</t>
  </si>
  <si>
    <t xml:space="preserve">OWASP Projects</t>
  </si>
  <si>
    <t xml:space="preserve">Current OWASP projects per category</t>
  </si>
  <si>
    <t xml:space="preserve">New Entrants</t>
  </si>
  <si>
    <t xml:space="preserve">2025 to 2026 launches and funded startups, with links</t>
  </si>
  <si>
    <t xml:space="preserve">Market Notes</t>
  </si>
  <si>
    <t xml:space="preserve">Trends, recommendations and consolidation analysis per category</t>
  </si>
  <si>
    <t xml:space="preserve">Sources &amp; Caveats</t>
  </si>
  <si>
    <t xml:space="preserve">Research method and unverified items</t>
  </si>
  <si>
    <t xml:space="preserve">Executive summary</t>
  </si>
  <si>
    <t xml:space="preserve">Research cut-off 2026-10-19. Recommendations are for an enterprise consulting delivery team; they are starting points for a bake-off, not a procurement decision.</t>
  </si>
  <si>
    <t xml:space="preserve">Coverage and AI maturity by category</t>
  </si>
  <si>
    <t xml:space="preserve">Category</t>
  </si>
  <si>
    <t xml:space="preserve">Tools analysed</t>
  </si>
  <si>
    <t xml:space="preserve">AI: GA</t>
  </si>
  <si>
    <t xml:space="preserve">AI: Beta or Preview</t>
  </si>
  <si>
    <t xml:space="preserve">AI: Marketing claim</t>
  </si>
  <si>
    <t xml:space="preserve">AI: None</t>
  </si>
  <si>
    <t xml:space="preserve">AI: Mixed / other</t>
  </si>
  <si>
    <t xml:space="preserve">New entrants 2025-26</t>
  </si>
  <si>
    <t xml:space="preserve">OSS / open-core rows</t>
  </si>
  <si>
    <t xml:space="preserve">Total</t>
  </si>
  <si>
    <t xml:space="preserve">Top contenders and best open-source pick per category</t>
  </si>
  <si>
    <t xml:space="preserve">Rank</t>
  </si>
  <si>
    <t xml:space="preserve">Tool</t>
  </si>
  <si>
    <t xml:space="preserve">Reasoning</t>
  </si>
  <si>
    <t xml:space="preserve">Best OSS / free pick</t>
  </si>
  <si>
    <t xml:space="preserve">Checkmarx One</t>
  </si>
  <si>
    <t xml:space="preserve">Only vendor that is a Leader in both Gartner MQ AST 2025 and Forrester SAST Wave Q3 2025 with the highest Current Offering score; broadest language and framework coverage for mixed client estates; GA agentic triage and remediation (Mar 2026) and IDE-agent integrations; multi-tenant plus single-tenant deployment fits multi-client delivery. Watch-outs: price opacity, add-on costs for AI, and cloud-first posture for air-gapped clients.</t>
  </si>
  <si>
    <t xml:space="preserve">Tool: Opengrep (engine) with Semgrep-compatible community rules, complemented by language specialists (Brakeman, gosec, Bandit, SpotBugs+FindSecBugs)
Reasoning: Opengrep is the only permissively licensed multi-language engine with a funded consortium, SARIF output and a roadmap for cross-file analysis, so it can anchor a free baseline pipeline across 30+ languages and run air-gapped. Pair with the single-language OSS tools for precision where they exist. Semgrep CE remains an option but its rule licensing now restricts commercial redistribution, which matters for a consulting firm packaging accelerators. Score all of them against OWASP Benchmark before recommending to clients.</t>
  </si>
  <si>
    <t xml:space="preserve">Veracode Static Analysis with Veracode Fix</t>
  </si>
  <si>
    <t xml:space="preserve">Dual Leader (Gartner and Forrester), lowest-friction binary scanning with strong policy/compliance reporting that regulated clients expect, and the most mature autofix lineage (Fix since 2023, SCA auto-PRs 2026). Best when clients accept SaaS-only; per-app pricing is predictable for portfolio-style engagements. Not viable for on-prem mandates.</t>
  </si>
  <si>
    <t xml:space="preserve">GitLab Ultimate (Advanced SAST + Duo) or GitHub Code Security (CodeQL + Copilot Autofix), chosen by client SCM</t>
  </si>
  <si>
    <t xml:space="preserve">Platform-native SAST removes integration effort and gives transparent per-user/per-committer pricing; GitLab is a Forrester SAST Leader and supports self-managed/air-gapped delivery with self-hosted AI models, which matters for sovereign and public-sector clients; GitHub gives the strongest open query language (CodeQL) for custom rules. Trade-off: depth and language breadth trail Checkmarx/Veracode/Fortify, and value collapses if the client is not on that platform.</t>
  </si>
  <si>
    <t xml:space="preserve">Also considered</t>
  </si>
  <si>
    <t xml:space="preserve">OpenText Fortify for mainframe/ERP (COBOL, ABAP) and government on-prem with Aviator audit; Black Duck Coverity for embedded C/C++ and safety standards; Semgrep for teams that want to own rules and a proven AI triage layer at per-contributor prices; Aikido for SMB clients wanting one console with published pricing.</t>
  </si>
  <si>
    <t xml:space="preserve">Black Duck SCA</t>
  </si>
  <si>
    <t xml:space="preserve">Only vendor that is a Leader in Gartner MQ AST 2025, Gartner MQ SSCS 2026 and Forrester SCA Wave 2024; deepest licence and binary/snippet coverage for regulated clients and M&amp;A audits; on-prem and air-gap deployment common in BFSI, auto and medtech engagements. Trade-off: cost, on-prem operational load and weaker developer experience; pair with a malware firewall.</t>
  </si>
  <si>
    <t xml:space="preserve">Tool: OWASP Dependency-Track 5.0 + Trivy (or Syft/Grype) + OSV-Scanner
Reasoning: Dependency-Track 5.0 (June 2026) is now horizontally scalable with CEL policies and hash-integrity checks; Trivy/Syft generate CycloneDX SBOMs across containers and code; OSV-Scanner adds precise OSV matching and guided remediation. Together they cover SBOM lifecycle, vulnerability and licence at zero licence cost. Retire OWASP Dependency-Check except for legacy Java pipelines; its NVD API key dependency and H2 corruption issue make it unreliable.</t>
  </si>
  <si>
    <t xml:space="preserve">Sonatype Nexus One (Lifecycle + Repository Firewall + SBOM Manager)</t>
  </si>
  <si>
    <t xml:space="preserve">Best ingestion-time blocking story for the malicious-package era, mature air-gap support, Gartner SSCS 2026 Leader and Forrester SCA Leader, plus Sonatype Guide MCP for AI coding assistants. Trade-off: value tied to Nexus Repository; limited reachability outside Java.</t>
  </si>
  <si>
    <t xml:space="preserve">Endor Labs</t>
  </si>
  <si>
    <t xml:space="preserve">Function-level reachability across 40+ languages with the strongest noise reduction evidence (92% average), Package Firewall, Endor Patches and agent-era governance; Gartner SSCS 2026 Visionary and rapid product velocity. Trade-off: SaaS-only, younger KB, seat pricing. Recommended as the modern alternative or overlay where clients reject legacy SCA cost.</t>
  </si>
  <si>
    <t xml:space="preserve">Snyk Open Source where the client wants one developer-first platform; Checkmarx SCA where Checkmarx SAST is already deployed; Socket as a low-cost malware-defence add-on to any of the above.</t>
  </si>
  <si>
    <t xml:space="preserve">GitGuardian</t>
  </si>
  <si>
    <t xml:space="preserve">Broadest verified coverage (480+ specific detectors, 19 generic, collaboration tools, containers, endpoints), mature validity/revocation workflows, and the only vendor in this sweep with GA AI-agent hooks plus MCP inventory. Self-hosted option fits regulated clients. Cost and Enterprise-gating are the trade-offs.</t>
  </si>
  <si>
    <t xml:space="preserve">Betterleaks (drop-in Gitleaks successor, MIT, 98.6% recall claim) for pre-commit and CI blocking, paired with TruffleHog OSS for verification and multi-source historical sweeps. Gitleaks is feature-frozen; detect-secrets is too narrow for greenfield deployments.</t>
  </si>
  <si>
    <t xml:space="preserve">GitHub Secret Protection</t>
  </si>
  <si>
    <t xml:space="preserve">For GitHub-standardised clients it delivers push protection, validity checks, AI generic-password detection and MCP-agent scanning at a transparent $19 per active committer with no pipeline changes. Choose it as the primary control when the SCM estate is GitHub and augment with a cross-source scanner for Slack/Jira/containers.</t>
  </si>
  <si>
    <t xml:space="preserve">TruffleHog Enterprise (with Cycode as the ASPM alternative)</t>
  </si>
  <si>
    <t xml:space="preserve">Best verification-first engine (800+ verified types), strong Analyze blast-radius features and the widest OSS-compatible source list at lower cost than GitGuardian; lacks ML generic detection, so pair with Betterleaks or GitHub Copilot detection. Cycode is the pick where the client wants ML generic detection inside an ASPM.</t>
  </si>
  <si>
    <t xml:space="preserve">[SBOM] Sonatype SBOM Manager (Nexus One)</t>
  </si>
  <si>
    <t xml:space="preserve">MQ Leader with first- and third-party SBOM lifecycle, CycloneDX VEX workflow, explicit regulatory mapping (CRA, DORA, PCI DSS, SEBI, CERT-In relevant to Indian clients) and AI component/Hugging Face support; fits consulting delivery where clients already run Nexus.</t>
  </si>
  <si>
    <t xml:space="preserve">Sbom: OWASP Dependency-Track (management) with cdxgen (generation) and Syft (containers), gated by Interlynk sbomqs for quality; Trivy for VEX filtering in CI.
Aibom: cdxgen AI-BOM mode (models, prompts, MCP configs, agent frameworks) plus OWASP AIBOM Generator for Hugging Face intake; agent-bom for MCP/agent inventory pilots; ModelScan for pickle risk gating.</t>
  </si>
  <si>
    <t xml:space="preserve">[SBOM] JFrog Platform (Xray, AppTrust, AI Catalog)</t>
  </si>
  <si>
    <t xml:space="preserve">Highest Ability to Execute in the 2026 MQ; binds SBOMs to signed evidence and the artefact system of record, with ML model registry and MCP registry governance; best when Artifactory is already in place.</t>
  </si>
  <si>
    <t xml:space="preserve">[SBOM] Black Duck SCA</t>
  </si>
  <si>
    <t xml:space="preserve">MQ Leader with the strongest binary/firmware SBOM generation, licence obligation tracking and AI model detection in SBOMs; suits product and embedded clients under CRA/FDA. Cost and admin overhead are the trade-off.</t>
  </si>
  <si>
    <t xml:space="preserve">[AI BOM] Snyk AI-BOM (snyk aibom)</t>
  </si>
  <si>
    <t xml:space="preserve">Only mainstream vendor with a documented, GA, standards-based (CycloneDX 1.6) AI-BOM CLI that maps models, agents, tools and MCP client-server chains, with upload to org inventory.</t>
  </si>
  <si>
    <t xml:space="preserve">[AI BOM] Endor Labs AI Code Governance plus SBOM Hub</t>
  </si>
  <si>
    <t xml:space="preserve">Visionary in the 2026 MQ; inventories models (50 risk metrics), coding agents, MCP servers and skills, and ties VEX to reachability; standards export needs confirmation.</t>
  </si>
  <si>
    <t xml:space="preserve">[AI BOM] Palo Alto Prisma AIRS (ex-Protect AI) or HiddenLayer for model file scanning</t>
  </si>
  <si>
    <t xml:space="preserve">Neither produces a standards AIBOM, but both cover the gap every AIBOM tool leaves: byte-level malware and backdoor scanning of pickle/PyTorch/TensorFlow/ONNX/safetensors model files with MLOps integration. Choose by existing platform footprint.</t>
  </si>
  <si>
    <t xml:space="preserve">ThreatModeler Nexus + IriusRisk</t>
  </si>
  <si>
    <t xml:space="preserve">Largest combined library, FedRAMP, live cloud and IaC ingestion, MCP server, MAESTRO and EU AI Act mapping. Risk: post-merger roadmap and pricing. Negotiate consolidation commitments and on-prem AI terms.</t>
  </si>
  <si>
    <t xml:space="preserve">OWASP Threat Dragon for a diagram-based system of record (Production status, Git storage, Cornucopia integration), combined with STRIDE GPT (BYO-LLM, MCP, OWASP LLM/ASI and ATLAS mapping) for AI-assisted drafting; AWS Threat Composer for AWS-centric teams.</t>
  </si>
  <si>
    <t xml:space="preserve">Security Compass SD Elements + Devici</t>
  </si>
  <si>
    <t xml:space="preserve">Best evidence base (4.7/5 on 29 Gartner PI reviews), requirements traceability for audits, Devici gives AI diagram generation, MAESTRO and flat enterprise pricing, MCP for coding agents. Risk: two-product integration and SaaS-only Devici.</t>
  </si>
  <si>
    <t xml:space="preserve">SecureFlag Threat Canvas</t>
  </si>
  <si>
    <t xml:space="preserve">Most complete AI-native input coverage (text, diagram, IaC, code) with customer-controlled LLM keys and code kept on-premises, Jira/ADO/MCP delivery, free for OWASP members. Risk: smaller vendor and thin review base; verify ownership.</t>
  </si>
  <si>
    <t xml:space="preserve">SD Elements (Security Compass)</t>
  </si>
  <si>
    <t xml:space="preserve">Only mature system of record for deterministic, audit-ready requirements with 100+ framework mappings, Jira/ADO traceability, SAST validation and an MCP layer for AI agents; federal on-prem editions. Cost from ~$75K/yr and survey overhead are the trade-offs.</t>
  </si>
  <si>
    <t xml:space="preserve">OWASP ASVS 5.0 data + OpenCRE crosswalks + Codific SAMMY free tier for program tracking; SecurityRAT only for a throwaway ASVS-to-Jira pilot given its maintenance state. For AI grounding, the community ASVS MCP server (clintcan) is usable but unofficial.</t>
  </si>
  <si>
    <t xml:space="preserve">IriusRisk</t>
  </si>
  <si>
    <t xml:space="preserve">Best when requirements should derive from an architecture-level threat model; countermeasure libraries cover ASVS/NIST/PCI/ISO, strong Jira/ADO/ServiceNow round-trip, on-prem available, free Community Edition for pilots, Jeff/Bex AI GA.</t>
  </si>
  <si>
    <t xml:space="preserve">ThreatModeler Nexus</t>
  </si>
  <si>
    <t xml:space="preserve">Broadest control library (3,500+ requirements, 180+ frameworks) with BYO-AI agents and MCP, GA June 2026; strongest for cloud/OT/product-security clients and FedRAMP-bound work. Requirements remain model-bound and pricing is opaque.</t>
  </si>
  <si>
    <t xml:space="preserve">Only vendor verified this session as Leader in Gartner MQ AST (Oct 2025), Gartner MQ SSCS (June 2026) and Forrester SAST Wave (Q3 2025); complete native module set plus ASPM; shipped agent family, MCP, AI supply chain (AI-BOM, LLM scanner) and FedRAMP Moderate in 2026; fits large-enterprise and public-sector clients. Watch: premium pricing, SaaS-first for the full platform, PE exit risk.</t>
  </si>
  <si>
    <t xml:space="preserve">Tool: OWASP DefectDojo (Community Edition, v3.2.400)
Reasoning: BSD-3 licensed, 200+ parsers, self-hostable and air-gap friendly, the only OSS option that functions as an ASPM/vulnerability-management system of record; paired with Semgrep CE, Trivy, Gitleaks, OWASP ZAP and Syft it yields a zero-licence baseline stack for budget-constrained or sovereignty-constrained clients. Upgrade path to DefectDojo Pro from $100/month. Faraday is the OSS alternative for pentest-centric teams only.</t>
  </si>
  <si>
    <t xml:space="preserve">Snyk AI Security Platform (Evo / AppRisk / Studio)</t>
  </si>
  <si>
    <t xml:space="preserve">Fastest agentic roadmap (Evo, ADS, AI-SPM, Continuous Offensive Security all GA by Aug 2026), strongest developer and coding-agent integration, Forrester Leader; best for cloud-native and AI-heavy engineering clients. Watch: SaaS-only, AppRisk weaker on mixed-vendor ingestion, pricing growth with developer counts.</t>
  </si>
  <si>
    <t xml:space="preserve">ArmorCode (neutral ASPM) paired with GitLab Ultimate or GitHub Advanced Security as the scanner substrate</t>
  </si>
  <si>
    <t xml:space="preserve">For a multi-client consulting team the neutral correlation layer is the strategic asset: ArmorCode's 400+ integrations and Anya agents deliver one risk view over any client's scanners, while GitLab Ultimate (self-managed, air-gap, on-prem AI via self-hosted models) or GHAS ($49/committer/month, high pricing confidence) provide low-friction native scanning. Alternatives with the same shape: Phoenix Security (cheaper, ownership attribution) or Veracode Risk Manager (if the client is already Veracode). Black Duck Polaris + Software Risk Manager is the substitute for air-gapped/SBOM-heavy clients.</t>
  </si>
  <si>
    <t xml:space="preserve">Consolidate vs best-of-breed (from Platforms &amp; ASPM research)</t>
  </si>
  <si>
    <t xml:space="preserve">Framing</t>
  </si>
  <si>
    <t xml:space="preserve">For a consulting delivery team serving multiple clients the question is not one platform for all clients; it is which platform(s) the firm standardises on for its own accelerators, and which neutral layer lets the team operate whatever the client already owns.</t>
  </si>
  <si>
    <t xml:space="preserve">Arguments for consolidation</t>
  </si>
  <si>
    <t xml:space="preserve">- Single data model, one policy engine and one agent family cut integration and training cost per engagement; Checkmarx One, Snyk and GitLab Ultimate now cover 80-90% of module needs natively.
- Autofix and agentic remediation work best when the fixer sees the scanner's own dataflow; cross-vendor autofix is weaker.
- Commercial leverage: bundles from Checkmarx, Snyk, Veracode and Black Duck typically discount 25-40% vs buying modules separately (market anecdotes, unverified).
- Analyst momentum and client procurement favour vendors present in both the AST and SSCS Magic Quadrants.</t>
  </si>
  <si>
    <t xml:space="preserve">Arguments for best of breed plus aspm</t>
  </si>
  <si>
    <t xml:space="preserve">- Client estates are heterogeneous: GitHub/GitLab-native scanning, legacy Fortify, Wiz/Prisma cloud findings, pentest output. A neutral ASPM (ArmorCode, Phoenix, DefectDojo) is the only way to deliver one risk view across clients without forcing scanner replacement.
- Module maturity variance inside every platform (DAST and API weak at Checkmarx/Snyk; SAST weak at Wiz/Cortex/Aikido; ASPM ingestion weak at OpenText/HCL) means best-in-class still wins on specific modules.
- Lock-in and PE ownership risk: five of the big-six AST vendors are PE-owned; a neutral layer preserves exit options.
- Regulated and air-gapped clients need Black Duck, HCL, OpenText, GitLab self-managed or DefectDojo; SaaS-only platforms (Snyk, Cycode, Legit, Wiz) are disqualified for them.</t>
  </si>
  <si>
    <t xml:space="preserve">Recommendation</t>
  </si>
  <si>
    <t xml:space="preserve">Hybrid: standardise the firm's own accelerators on one or two scanner platforms (see contenders) and on a vendor-neutral ASPM/aggregation layer that ingests any client scanner. Keep a benchmarked best-of-breed bench (Semgrep for custom rules, Endor Labs for SCA reachability, Escape for API DAST, Mobb for neutral autofix) for client-specific gaps. Run AI SAST new entrants (ZeroPath, DryRun, Corgea) as second-opinion pilots, not as system of record.</t>
  </si>
  <si>
    <t xml:space="preserve">Reading the 2027 priorities against this data</t>
  </si>
  <si>
    <t xml:space="preserve">Re-tool to best in class</t>
  </si>
  <si>
    <t xml:space="preserve">Checkmarx One is the only vendor verified as Leader in Gartner MQ AST (Oct 2025), Gartner MQ Software Supply Chain Security (Jun 2026) and the Forrester SAST Wave (Q3 2025). Black Duck and Sonatype lead on SCA and SBOM depth for regulated and air-gapped clients. GitHub and GitLab win where the client already owns the SCM. Snyk leads on developer experience and the agentic roadmap (Evo).</t>
  </si>
  <si>
    <t xml:space="preserve">AI across all solutions</t>
  </si>
  <si>
    <t xml:space="preserve">AI autofix and AI triage are now GA at every MQ Leader. MCP servers exist from 15+ vendors. The gap is in secrets (incumbents have no secrets-specific AI; GitGuardian, Cycode and GitHub do), threat modeling (only ThreatModeler Nexus, IriusRisk Jeff, Devici, Threat Canvas and STRIDE GPT generate models from code or IaC), and AI BOM (only cdxgen, Snyk aibom, OWASP AIBOM Generator, ZeroPath and agent-bom emit standards-based CycloneDX AI BOMs).</t>
  </si>
  <si>
    <t xml:space="preserve">40% effort reduction</t>
  </si>
  <si>
    <t xml:space="preserve">Vendor-reported figures only: Semgrep Assistant 96% triage agreement, Endor Labs 95% false-positive cut, Corgea 90% noise reduction, Betterleaks 98.6% recall. None are independently benchmarked. Run OWASP Benchmark (SAST) and a fixed corpus of internal repos through the shortlist to produce the team's own baseline before quoting a number.</t>
  </si>
  <si>
    <t xml:space="preserve">Where the incumbents are weak</t>
  </si>
  <si>
    <t xml:space="preserve">Veracode, Fortify, HCL and Black Duck have no dedicated secrets product, no validity checking, no NHI inventory. Fortify Aviator and HCL RapidFix are SAST-only. Veracode SBOM API still emits CycloneDX 1.4. Fortify SBOM export is Enterprise-tier only. Pricing is quote-only across all of them.</t>
  </si>
  <si>
    <t xml:space="preserve">OWASP baseline</t>
  </si>
  <si>
    <t xml:space="preserve">ASVS 5.0 (May 2025), OWASP Top 10:2025 (new A03 Software Supply Chain Failures), CycloneDX 1.7 (Oct 2025, ECMA-424), Dependency-Track 5.x (Jun 2026), LLM Top 10 2026, Agentic Top 10 2026 and the Agent Control Standard. Dependency-Check and SecurityRAT are effectively legacy. Threat Dragon has no AI roadmap.</t>
  </si>
  <si>
    <t xml:space="preserve">Scoring matrix (rule-based, weighted, editable)</t>
  </si>
  <si>
    <t xml:space="preserve">Scores 1 to 5 are derived from the data columns by the rules below. Change the blue weights or add a Team adjustment; totals recalculate. Sort by Weighted score after filtering to a category.</t>
  </si>
  <si>
    <t xml:space="preserve">Weights (edit the blue cells; they should sum to 100%)</t>
  </si>
  <si>
    <t xml:space="preserve">Criterion</t>
  </si>
  <si>
    <t xml:space="preserve">Weight</t>
  </si>
  <si>
    <t xml:space="preserve">Scoring rule</t>
  </si>
  <si>
    <t xml:space="preserve">AI maturity</t>
  </si>
  <si>
    <t xml:space="preserve">GA = 5; Beta/Preview or GA-for-platform-but-not-this-category = 3; Marketing claim = 2; None = 1</t>
  </si>
  <si>
    <t xml:space="preserve">Deployment flexibility</t>
  </si>
  <si>
    <t xml:space="preserve">Air-gap supported = 5; on-prem, self-hosted, self-managed, desktop, local or CLI = 4; hybrid, single-tenant or dedicated = 3; SaaS only = 2; N/A = 1. Negated clauses ("no on-prem", "legacy", "limited") are ignored</t>
  </si>
  <si>
    <t xml:space="preserve">Analyst standing</t>
  </si>
  <si>
    <t xml:space="preserve">Leader in a Gartner MQ or Forrester Wave = 5; Visionary, Challenger or Strong Performer = 4; Niche, Contender, Cool Vendor, GigaOm or Peer Insights only = 3; other mention = 2; not rated = 1</t>
  </si>
  <si>
    <t xml:space="preserve">Pricing transparency</t>
  </si>
  <si>
    <t xml:space="preserve">Pricing confidence High = 5; Medium = 3; Low = 2; None = 1</t>
  </si>
  <si>
    <t xml:space="preserve">Open source / free availability</t>
  </si>
  <si>
    <t xml:space="preserve">Open source, framework, standard or free = 5; open-core = 3; commercial with a free tier or open-source component = 2; commercial only = 1</t>
  </si>
  <si>
    <t xml:space="preserve">Note</t>
  </si>
  <si>
    <t xml:space="preserve">Rule-based scores measure evidence in the public record, not tool quality. A niche OSS tool can outscore a Leader on transparency and deployment. Use "Team adjustment" (-2 to +2) after a hands-on bake-off, e.g. OWASP Benchmark results for SAST.</t>
  </si>
  <si>
    <t xml:space="preserve">Vendor</t>
  </si>
  <si>
    <t xml:space="preserve">Type</t>
  </si>
  <si>
    <t xml:space="preserve">AI maturity (as recorded)</t>
  </si>
  <si>
    <t xml:space="preserve">AI maturity score</t>
  </si>
  <si>
    <t xml:space="preserve">Deployment score</t>
  </si>
  <si>
    <t xml:space="preserve">Analyst score</t>
  </si>
  <si>
    <t xml:space="preserve">Pricing transparency score</t>
  </si>
  <si>
    <t xml:space="preserve">OSS / free score</t>
  </si>
  <si>
    <t xml:space="preserve">Team adjustment (-2 to +2)</t>
  </si>
  <si>
    <t xml:space="preserve">Weighted score (1-5)</t>
  </si>
  <si>
    <t xml:space="preserve">Rank in category</t>
  </si>
  <si>
    <t xml:space="preserve">Aikido Security</t>
  </si>
  <si>
    <t xml:space="preserve">Aikido Security (Belgium)</t>
  </si>
  <si>
    <t xml:space="preserve">Commercial (free tier; open-source Opengrep engine underneath)</t>
  </si>
  <si>
    <t xml:space="preserve">GA</t>
  </si>
  <si>
    <t xml:space="preserve">Amplify Security</t>
  </si>
  <si>
    <t xml:space="preserve">Commercial</t>
  </si>
  <si>
    <t xml:space="preserve">Arnica (Agentic AppSec platform with AI SAST)</t>
  </si>
  <si>
    <t xml:space="preserve">Arnica</t>
  </si>
  <si>
    <t xml:space="preserve">Black Duck Coverity / Polaris (incl. Black Duck Assist and Signal)</t>
  </si>
  <si>
    <t xml:space="preserve">Black Duck Software (formerly Synopsys Software Integrity Group; owned by Clearlake Capital and Francisco Partners since Oct 2024)</t>
  </si>
  <si>
    <t xml:space="preserve">Checkmarx One (SAST)</t>
  </si>
  <si>
    <t xml:space="preserve">Checkmarx (Hellman &amp; Friedman portfolio)</t>
  </si>
  <si>
    <t xml:space="preserve">CodeRabbit Security (AI Deep Scan add-on to CodeRabbit code review)</t>
  </si>
  <si>
    <t xml:space="preserve">CodeRabbit</t>
  </si>
  <si>
    <t xml:space="preserve">Contrast Security (Contrast Scan SAST / Assess IAST / Contrast One, Northstar platform)</t>
  </si>
  <si>
    <t xml:space="preserve">Contrast Security</t>
  </si>
  <si>
    <t xml:space="preserve">Corgea</t>
  </si>
  <si>
    <t xml:space="preserve">Cursor Security Review (companion to Bugbot)</t>
  </si>
  <si>
    <t xml:space="preserve">Anysphere (Cursor)</t>
  </si>
  <si>
    <t xml:space="preserve">DryRun Security</t>
  </si>
  <si>
    <t xml:space="preserve">Endor Labs (Endor Code AI SAST)</t>
  </si>
  <si>
    <t xml:space="preserve">Commercial (free local AURI tier)</t>
  </si>
  <si>
    <t xml:space="preserve">GA (AI SAST announced Nov 2025 as early access; listed as core Endor Code capability on pricing page Sep 2026; treat as GA with recent maturity)</t>
  </si>
  <si>
    <t xml:space="preserve">GitHub Advanced Security / CodeQL (GitHub Code Security, incl. Copilot Autofix)</t>
  </si>
  <si>
    <t xml:space="preserve">GitHub (Microsoft)</t>
  </si>
  <si>
    <t xml:space="preserve">Commercial (CodeQL CLI free for OSS / research; open-source queries)</t>
  </si>
  <si>
    <t xml:space="preserve">Greptile (AI code review with security scanning)</t>
  </si>
  <si>
    <t xml:space="preserve">Greptile</t>
  </si>
  <si>
    <t xml:space="preserve">Commercial (free for individuals)</t>
  </si>
  <si>
    <t xml:space="preserve">HCL AppScan (Source / 360 / on Cloud, incl. CodeSweep and RapidFix)</t>
  </si>
  <si>
    <t xml:space="preserve">HCLSoftware</t>
  </si>
  <si>
    <t xml:space="preserve">Commercial (CodeSweep free)</t>
  </si>
  <si>
    <t xml:space="preserve">Jit (Open ASPM orchestrating Semgrep/Opengrep SAST)</t>
  </si>
  <si>
    <t xml:space="preserve">Jit</t>
  </si>
  <si>
    <t xml:space="preserve">Commercial (free tier)</t>
  </si>
  <si>
    <t xml:space="preserve">Kodem (Runtime-aware AI SAST, Kai agents)</t>
  </si>
  <si>
    <t xml:space="preserve">Kodem Security</t>
  </si>
  <si>
    <t xml:space="preserve">Mobb (Hybrid-AI autofix for SAST findings)</t>
  </si>
  <si>
    <t xml:space="preserve">Mobb</t>
  </si>
  <si>
    <t xml:space="preserve">Commercial (free tier / free pilot)</t>
  </si>
  <si>
    <t xml:space="preserve">Nullify (autonomous AI product-security agents incl. code security)</t>
  </si>
  <si>
    <t xml:space="preserve">Nullify</t>
  </si>
  <si>
    <t xml:space="preserve">OpenText Fortify (Static Code Analyzer / Core Application Security, incl. Fortify Aviator)</t>
  </si>
  <si>
    <t xml:space="preserve">OpenText (Fortify, ex-Micro Focus)</t>
  </si>
  <si>
    <t xml:space="preserve">Pixee (AI triage and remediation layer over SAST/SCA)</t>
  </si>
  <si>
    <t xml:space="preserve">Pixee</t>
  </si>
  <si>
    <t xml:space="preserve">Snyk Code (DeepCode AI / Snyk Agent Fix)</t>
  </si>
  <si>
    <t xml:space="preserve">Snyk</t>
  </si>
  <si>
    <t xml:space="preserve">Veracode Static Analysis (incl. Veracode Fix)</t>
  </si>
  <si>
    <t xml:space="preserve">Veracode (TA Associates)</t>
  </si>
  <si>
    <t xml:space="preserve">ZeroPath</t>
  </si>
  <si>
    <t xml:space="preserve">ZeroPath (YC-backed)</t>
  </si>
  <si>
    <t xml:space="preserve">Bandit</t>
  </si>
  <si>
    <t xml:space="preserve">PyCQA (OpenStack origin), community</t>
  </si>
  <si>
    <t xml:space="preserve">Open source (Apache 2.0)</t>
  </si>
  <si>
    <t xml:space="preserve">None</t>
  </si>
  <si>
    <t xml:space="preserve">Bearer (now Cycode SAST; Bearer CLI open source via Cygives)</t>
  </si>
  <si>
    <t xml:space="preserve">Cycode (acquired Bearer, completed Apr 2024)</t>
  </si>
  <si>
    <t xml:space="preserve">Open-core (Bearer CLI OSS; Cycode platform commercial)</t>
  </si>
  <si>
    <t xml:space="preserve">Brakeman</t>
  </si>
  <si>
    <t xml:space="preserve">Justin Collins (presidentbeef); commercial Brakeman Pro discontinued</t>
  </si>
  <si>
    <t xml:space="preserve">Open source (Brakeman Public Use License; free for non-commercial-redistribution use)</t>
  </si>
  <si>
    <t xml:space="preserve">GitLab Ultimate SAST (GitLab Advanced SAST, incl. GitLab Duo)</t>
  </si>
  <si>
    <t xml:space="preserve">GitLab Inc.</t>
  </si>
  <si>
    <t xml:space="preserve">Open-core (SAST in Free/Premium uses OSS analysers; Advanced SAST and Duo features in Ultimate)</t>
  </si>
  <si>
    <t xml:space="preserve">gosec</t>
  </si>
  <si>
    <t xml:space="preserve">securego community</t>
  </si>
  <si>
    <t xml:space="preserve">Opengrep</t>
  </si>
  <si>
    <t xml:space="preserve">Opengrep consortium (Aikido Security, Endor Labs, Amplify, Kodem, Orca Security, Jit, Arnica, Mobb, Legit and others)</t>
  </si>
  <si>
    <t xml:space="preserve">Open source (LGPL 2.1 fork of Semgrep CE)</t>
  </si>
  <si>
    <t xml:space="preserve">PMD</t>
  </si>
  <si>
    <t xml:space="preserve">PMD community</t>
  </si>
  <si>
    <t xml:space="preserve">Open source (BSD-style)</t>
  </si>
  <si>
    <t xml:space="preserve">Semgrep Code (incl. Semgrep Assistant)</t>
  </si>
  <si>
    <t xml:space="preserve">Semgrep Inc.</t>
  </si>
  <si>
    <t xml:space="preserve">Open-core (Semgrep CE engine LGPL; Semgrep Code/Pro engine, Assistant commercial)</t>
  </si>
  <si>
    <t xml:space="preserve">SonarQube (Server / Cloud, incl. Advanced Security and AI CodeFix)</t>
  </si>
  <si>
    <t xml:space="preserve">Sonar (SonarSource)</t>
  </si>
  <si>
    <t xml:space="preserve">Open-core (Community Build free; Developer/Enterprise/Data Center paid)</t>
  </si>
  <si>
    <t xml:space="preserve">SpotBugs + Find Security Bugs (FindSecBugs)</t>
  </si>
  <si>
    <t xml:space="preserve">SpotBugs community; Find Security Bugs (Philippe Arteau, OWASP project)</t>
  </si>
  <si>
    <t xml:space="preserve">Open source (LGPL)</t>
  </si>
  <si>
    <t xml:space="preserve">Aikido Security (Ghent, Belgium)</t>
  </si>
  <si>
    <t xml:space="preserve">Commercial (open-source components: Opengrep, Betterleaks, Safe Chain)</t>
  </si>
  <si>
    <t xml:space="preserve">AIR (AI agent skills and add-on supply chain security) - adjacent</t>
  </si>
  <si>
    <t xml:space="preserve">AIR (air.security)</t>
  </si>
  <si>
    <t xml:space="preserve">GA per vendor (new)</t>
  </si>
  <si>
    <t xml:space="preserve">Chainguard (Containers, Libraries, VMs) - adjacent hardened-source approach</t>
  </si>
  <si>
    <t xml:space="preserve">Chainguard</t>
  </si>
  <si>
    <t xml:space="preserve">Commercial (free tier of latest images)</t>
  </si>
  <si>
    <t xml:space="preserve">Checkmarx SCA (Checkmarx One)</t>
  </si>
  <si>
    <t xml:space="preserve">Checkmarx</t>
  </si>
  <si>
    <t xml:space="preserve">Cycode (Agentic Development Security Platform, incl. SCA)</t>
  </si>
  <si>
    <t xml:space="preserve">Cycode</t>
  </si>
  <si>
    <t xml:space="preserve">GA (bulk analysis newly introduced, status not explicit)</t>
  </si>
  <si>
    <t xml:space="preserve">Echo (vulnerability-free container images; acquired Minimus)</t>
  </si>
  <si>
    <t xml:space="preserve">Echo Software</t>
  </si>
  <si>
    <t xml:space="preserve">GA per vendor (unverified independently)</t>
  </si>
  <si>
    <t xml:space="preserve">Commercial (free AURI for Developers tier)</t>
  </si>
  <si>
    <t xml:space="preserve">FOSSA</t>
  </si>
  <si>
    <t xml:space="preserve">Commercial (fossa-cli open source)</t>
  </si>
  <si>
    <t xml:space="preserve">Marketing claim</t>
  </si>
  <si>
    <t xml:space="preserve">GitHub Dependabot / Dependency Review (GitHub Code Security)</t>
  </si>
  <si>
    <t xml:space="preserve">Commercial (free on public repos; core Dependabot free on private repos; Dependency Review Action needs Code Security)</t>
  </si>
  <si>
    <t xml:space="preserve">HCL AppScan SCA (in AppScan 360 and AppScan on Cloud)</t>
  </si>
  <si>
    <t xml:space="preserve">HCL Software (HCLTech)</t>
  </si>
  <si>
    <t xml:space="preserve">GA (RapidFix, IFA) / Beta or Preview (MCP server, status unverified)</t>
  </si>
  <si>
    <t xml:space="preserve">JFrog Xray / JFrog Advanced Security / JFrog Curation (incl. AI Catalog, Agent Guard, AppTrust)</t>
  </si>
  <si>
    <t xml:space="preserve">JFrog</t>
  </si>
  <si>
    <t xml:space="preserve">Konvu</t>
  </si>
  <si>
    <t xml:space="preserve">Konvu (New York)</t>
  </si>
  <si>
    <t xml:space="preserve">GA (early; SCA/SAST exploit reproduction in early access)</t>
  </si>
  <si>
    <t xml:space="preserve">Lineaje (SBOM360, xBOM Manager, Gold Open Source, UnifAI)</t>
  </si>
  <si>
    <t xml:space="preserve">Lineaje</t>
  </si>
  <si>
    <t xml:space="preserve">GA per vendor; independent verification limited</t>
  </si>
  <si>
    <t xml:space="preserve">Mend SCA (Mend.io platform incl. Renovate and Mend AI)</t>
  </si>
  <si>
    <t xml:space="preserve">Mend.io (formerly WhiteSource)</t>
  </si>
  <si>
    <t xml:space="preserve">Commercial (Renovate is open source)</t>
  </si>
  <si>
    <t xml:space="preserve">OpenText Fortify Software Composition Analysis (powered by Debricked; sold as OpenText Core SCA / Core Application Security) and OpenText Core Open Source Select</t>
  </si>
  <si>
    <t xml:space="preserve">OpenText (Debricked acquired by Micro Focus 2022, Micro Focus by OpenText 2023)</t>
  </si>
  <si>
    <t xml:space="preserve">GA (Aviator for SAST) / Marketing claim for SCA-specific AI</t>
  </si>
  <si>
    <t xml:space="preserve">Phylum (now Veracode Package Firewall)</t>
  </si>
  <si>
    <t xml:space="preserve">Veracode (acquired Phylum Jan 2025)</t>
  </si>
  <si>
    <t xml:space="preserve">Scantist (AppDefender SCA)</t>
  </si>
  <si>
    <t xml:space="preserve">Scantist (Singapore)</t>
  </si>
  <si>
    <t xml:space="preserve">Semgrep Supply Chain</t>
  </si>
  <si>
    <t xml:space="preserve">Semgrep</t>
  </si>
  <si>
    <t xml:space="preserve">Commercial (Semgrep CE open source; Supply Chain is commercial)</t>
  </si>
  <si>
    <t xml:space="preserve">Snyk Open Source</t>
  </si>
  <si>
    <t xml:space="preserve">Socket</t>
  </si>
  <si>
    <t xml:space="preserve">Socket Inc.</t>
  </si>
  <si>
    <t xml:space="preserve">Commercial (free tier; open-source CLI)</t>
  </si>
  <si>
    <t xml:space="preserve">Sonatype Lifecycle / Nexus One Platform (incl. Repository Firewall, SBOM Manager, Sonatype Guide/AI)</t>
  </si>
  <si>
    <t xml:space="preserve">Sonatype</t>
  </si>
  <si>
    <t xml:space="preserve">Commercial (Nexus Repository OSS is open source)</t>
  </si>
  <si>
    <t xml:space="preserve">Veracode SCA (incl. Package Firewall, ex-Phylum)</t>
  </si>
  <si>
    <t xml:space="preserve">Veracode</t>
  </si>
  <si>
    <t xml:space="preserve">Xygeni</t>
  </si>
  <si>
    <t xml:space="preserve">Xygeni Security (Madrid)</t>
  </si>
  <si>
    <t xml:space="preserve">GitLab Dependency Scanning (GitLab Ultimate)</t>
  </si>
  <si>
    <t xml:space="preserve">GitLab</t>
  </si>
  <si>
    <t xml:space="preserve">Open-core (scanner open source; features gated to Ultimate)</t>
  </si>
  <si>
    <t xml:space="preserve">GA (Duo Security Agent and some agent features Beta/Limited Availability)</t>
  </si>
  <si>
    <t xml:space="preserve">Google OSV-Scanner</t>
  </si>
  <si>
    <t xml:space="preserve">Google (OSV project)</t>
  </si>
  <si>
    <t xml:space="preserve">Open source (Apache-2.0)</t>
  </si>
  <si>
    <t xml:space="preserve">Grype (with Syft)</t>
  </si>
  <si>
    <t xml:space="preserve">Anchore</t>
  </si>
  <si>
    <t xml:space="preserve">Open source (Apache-2.0); Anchore Enterprise commercial</t>
  </si>
  <si>
    <t xml:space="preserve">Kusari (Kusari Inspector, Kusari Platform, GUAC)</t>
  </si>
  <si>
    <t xml:space="preserve">Kusari</t>
  </si>
  <si>
    <t xml:space="preserve">Open-core (GUAC is OpenSSF open source; Inspector/Platform commercial)</t>
  </si>
  <si>
    <t xml:space="preserve">OWASP Dependency-Check</t>
  </si>
  <si>
    <t xml:space="preserve">OWASP Foundation (Jeremy Long, maintainers)</t>
  </si>
  <si>
    <t xml:space="preserve">OWASP Dependency-Track</t>
  </si>
  <si>
    <t xml:space="preserve">OWASP Foundation (Steve Springett, Niklas Duester)</t>
  </si>
  <si>
    <t xml:space="preserve">SafeDep (vet, PMG, SafeDep Cloud)</t>
  </si>
  <si>
    <t xml:space="preserve">SafeDep</t>
  </si>
  <si>
    <t xml:space="preserve">Open-core (vet and PMG Apache-2.0; SafeDep Cloud commercial)</t>
  </si>
  <si>
    <t xml:space="preserve">Trivy</t>
  </si>
  <si>
    <t xml:space="preserve">Aqua Security</t>
  </si>
  <si>
    <t xml:space="preserve">Open source (Apache-2.0); commercial Aqua Platform</t>
  </si>
  <si>
    <t xml:space="preserve">GA (community MCP plugin)</t>
  </si>
  <si>
    <t xml:space="preserve">Aikido Security (Secrets Detection scanner)</t>
  </si>
  <si>
    <t xml:space="preserve">Commercial (freemium); Betterleaks OSS lineage</t>
  </si>
  <si>
    <t xml:space="preserve">GA (AutoFix); generic-secret AI in secrets: unverified</t>
  </si>
  <si>
    <t xml:space="preserve">Arnica (Agentic Code Security; real-time secrets)</t>
  </si>
  <si>
    <t xml:space="preserve">Marketing claim for secrets; agentic remediation GA per vendor</t>
  </si>
  <si>
    <t xml:space="preserve">Black Duck secrets detection (Polaris / Coverity SAST hard-coded secrets checkers, Rapid Scan Static; Black Duck Signal AI)</t>
  </si>
  <si>
    <t xml:space="preserve">Black Duck Software (ex-Synopsys Software Integrity Group)</t>
  </si>
  <si>
    <t xml:space="preserve">Commercial (feature of Polaris platform, Coverity SAST and Rapid Scan Static; Signal is a separate agentic AI product; no standalone secrets product)</t>
  </si>
  <si>
    <t xml:space="preserve">GA (Signal, Polaris MCP server, AI triage for SAST generally); Marketing claim for secrets-specific AI detection</t>
  </si>
  <si>
    <t xml:space="preserve">Checkmarx One Secrets Detection and 2ms (Too Many Secrets)</t>
  </si>
  <si>
    <t xml:space="preserve">Commercial (Checkmarx One module) + Open source 2ms (Apache-2.0)</t>
  </si>
  <si>
    <t xml:space="preserve">GA (platform AI agents); Marketing claim for secrets-specific AI</t>
  </si>
  <si>
    <t xml:space="preserve">Cremit (NHI security platform with secrets detection)</t>
  </si>
  <si>
    <t xml:space="preserve">Cremit (Seoul, founded 2023)</t>
  </si>
  <si>
    <t xml:space="preserve">None verified</t>
  </si>
  <si>
    <t xml:space="preserve">Cycode Secrets Detection (Complete ASPM)</t>
  </si>
  <si>
    <t xml:space="preserve">GA (ML generic detection, Agentic Code Scanning); Classifier Agent operational, GA not explicitly stated; Workstation Protection Beta or Preview (early access)</t>
  </si>
  <si>
    <t xml:space="preserve">Entro Security (NHI + Secrets Security; being acquired by SailPoint)</t>
  </si>
  <si>
    <t xml:space="preserve">SailPoint (Entro Security, acquisition completed June 29, 2026)</t>
  </si>
  <si>
    <t xml:space="preserve">GA (NHIDR); agent-security claims partly Marketing</t>
  </si>
  <si>
    <t xml:space="preserve">GitGuardian Platform (Secrets Security + NHI Governance)</t>
  </si>
  <si>
    <t xml:space="preserve">Commercial (open-source ggshield CLI)</t>
  </si>
  <si>
    <t xml:space="preserve">GA (AI hooks, agent/MCP inventory, risk scoring); behavioral agent monitoring Beta</t>
  </si>
  <si>
    <t xml:space="preserve">GitHub Secret Protection (secret scanning, push protection, Copilot secret scanning)</t>
  </si>
  <si>
    <t xml:space="preserve">Commercial (free for public repos; standalone SKU for private repos)</t>
  </si>
  <si>
    <t xml:space="preserve">GA (AI-detected generic password alerts via purpose-built model, Oct 2026; MCP Server secret scanning, GA May 2026); Private preview (AI push protection, Copilot security-review secret checks); Public preview (AI-detected alerts on GHES 3.23)</t>
  </si>
  <si>
    <t xml:space="preserve">HCL AppScan Static Analysis secrets scanning (AppScan on Cloud / AppScan 360; RapidFix; AppScan MCP Server)</t>
  </si>
  <si>
    <t xml:space="preserve">Commercial (feature of AppScan on Cloud and AppScan 360 static analysis; no standalone secrets product); CodeSweep free IDE/GitHub SAST</t>
  </si>
  <si>
    <t xml:space="preserve">GA (RapidFix, MCP Server for SAST findings generally); None for secrets-specific AI</t>
  </si>
  <si>
    <t xml:space="preserve">HCP Vault Radar (ex-BluBracket) - adjacent: Doppler</t>
  </si>
  <si>
    <t xml:space="preserve">HashiCorp (IBM)</t>
  </si>
  <si>
    <t xml:space="preserve">Jit (Agentic AppSec platform; secrets via orchestrated scanners)</t>
  </si>
  <si>
    <t xml:space="preserve">Torq (acquired Jit, announced May 19, 2026)</t>
  </si>
  <si>
    <t xml:space="preserve">Commercial (freemium, orchestrates OSS engines)</t>
  </si>
  <si>
    <t xml:space="preserve">GA (agents, platform-wide)</t>
  </si>
  <si>
    <t xml:space="preserve">Legit Security (Secrets Detection in ASPM)</t>
  </si>
  <si>
    <t xml:space="preserve">Legit Security</t>
  </si>
  <si>
    <t xml:space="preserve">GA (MCP server, VibeGuard per vendor); secrets-specific AI Marketing claim</t>
  </si>
  <si>
    <t xml:space="preserve">Nightfall AI (Secrets &amp; Keys, MCP Security)</t>
  </si>
  <si>
    <t xml:space="preserve">Nightfall AI</t>
  </si>
  <si>
    <t xml:space="preserve">OpenText Fortify SAST hardcoded-credential detection (Password Management, Key Management and Credential Management rule families; Remediation Aviator; fcli MCP)</t>
  </si>
  <si>
    <t xml:space="preserve">OpenText (Fortify / OpenText Core Application Security)</t>
  </si>
  <si>
    <t xml:space="preserve">Commercial (feature of Fortify Static Code Analyzer and Fortify on Demand / OpenText Core Application Security; no standalone secrets product)</t>
  </si>
  <si>
    <t xml:space="preserve">GA (Remediation Aviator, fcli MCP server for SAST findings generally); None for secrets-specific AI</t>
  </si>
  <si>
    <t xml:space="preserve">Semgrep Secrets</t>
  </si>
  <si>
    <t xml:space="preserve">Commercial (Semgrep OSS engine is LGPL; Secrets is paid)</t>
  </si>
  <si>
    <t xml:space="preserve">GA (Assistant); no secrets-specific AI detection</t>
  </si>
  <si>
    <t xml:space="preserve">Snyk Secrets (Snyk AI Security Platform)</t>
  </si>
  <si>
    <t xml:space="preserve">GA (Aug 2026)</t>
  </si>
  <si>
    <t xml:space="preserve">Spectral (SpectralOps) - Check Point CloudGuard</t>
  </si>
  <si>
    <t xml:space="preserve">Check Point Software</t>
  </si>
  <si>
    <t xml:space="preserve">Veracode secrets detection (Static Analysis CWE-798/259 rules + Container Security secrets scan via Veracode CLI)</t>
  </si>
  <si>
    <t xml:space="preserve">Commercial (feature of Veracode Static Analysis and Veracode Container Security; no standalone secrets product)</t>
  </si>
  <si>
    <t xml:space="preserve">None (for secrets); Veracode Fix is GA for SAST flaws generally</t>
  </si>
  <si>
    <t xml:space="preserve">Betterleaks</t>
  </si>
  <si>
    <t xml:space="preserve">Zach Rice (Gitleaks creator; Head of Secrets Scanning at Aikido Security)</t>
  </si>
  <si>
    <t xml:space="preserve">Open source (MIT)</t>
  </si>
  <si>
    <t xml:space="preserve">GA (OSS release Mar 19, 2026)</t>
  </si>
  <si>
    <t xml:space="preserve">detect-secrets</t>
  </si>
  <si>
    <t xml:space="preserve">Yelp (open source)</t>
  </si>
  <si>
    <t xml:space="preserve">ggshield (GitGuardian CLI)</t>
  </si>
  <si>
    <t xml:space="preserve">Open source CLI (MIT) backed by GitGuardian API</t>
  </si>
  <si>
    <t xml:space="preserve">GitLab Secret Detection (pipeline, secret push protection, client-side, Duo)</t>
  </si>
  <si>
    <t xml:space="preserve">Open-core (pipeline analyzer in Free; push protection and Duo in Ultimate)</t>
  </si>
  <si>
    <t xml:space="preserve">GA (Duo false-positive detection on Ultimate with Duo add-on)</t>
  </si>
  <si>
    <t xml:space="preserve">Gitleaks (OSS) - see Betterleaks successor</t>
  </si>
  <si>
    <t xml:space="preserve">Zach Rice / Gitleaks project (community)</t>
  </si>
  <si>
    <t xml:space="preserve">TruffleHog (OSS) and TruffleHog Enterprise</t>
  </si>
  <si>
    <t xml:space="preserve">Truffle Security Co.</t>
  </si>
  <si>
    <t xml:space="preserve">Open-core (TruffleHog OSS AGPL-3.0; Enterprise commercial)</t>
  </si>
  <si>
    <t xml:space="preserve">None (marketing references AI-agent threats; no shipped AI detection)</t>
  </si>
  <si>
    <t xml:space="preserve">AIR</t>
  </si>
  <si>
    <t xml:space="preserve">GA (early customers)</t>
  </si>
  <si>
    <t xml:space="preserve">Anchore Enterprise</t>
  </si>
  <si>
    <t xml:space="preserve">Commercial (open-core on Syft/Grype)</t>
  </si>
  <si>
    <t xml:space="preserve">Black Duck SCA (SBOM and AI Model Risk)</t>
  </si>
  <si>
    <t xml:space="preserve">Black Duck Software (ex-Synopsys SIG)</t>
  </si>
  <si>
    <t xml:space="preserve">Checkmarx One SBOM (SCA SBOM reports, AI Supply Chain Security / AI-BOM)</t>
  </si>
  <si>
    <t xml:space="preserve">Cisco AI Defense (incl. Foundation AI; Aim Security acquired 2025)</t>
  </si>
  <si>
    <t xml:space="preserve">Cisco</t>
  </si>
  <si>
    <t xml:space="preserve">Cybeats SBOM Studio</t>
  </si>
  <si>
    <t xml:space="preserve">Cybeats Technologies</t>
  </si>
  <si>
    <t xml:space="preserve">Endor Labs (SBOM Hub, VEX, AI Code Governance)</t>
  </si>
  <si>
    <t xml:space="preserve">Finite State Platform</t>
  </si>
  <si>
    <t xml:space="preserve">Finite State</t>
  </si>
  <si>
    <t xml:space="preserve">FOSSA Inc.</t>
  </si>
  <si>
    <t xml:space="preserve">GitHub SBOM export (Dependency Graph)</t>
  </si>
  <si>
    <t xml:space="preserve">Commercial (feature free on all plans)</t>
  </si>
  <si>
    <t xml:space="preserve">HCL AppScan SBOM (AppScan on Cloud, AppScan 360 SCA reports, Supply Chain Security)</t>
  </si>
  <si>
    <t xml:space="preserve">HCLSoftware (HCL Technologies)</t>
  </si>
  <si>
    <t xml:space="preserve">HiddenLayer AISec Platform (Model Scanner, AI Supply Chain Security)</t>
  </si>
  <si>
    <t xml:space="preserve">HiddenLayer</t>
  </si>
  <si>
    <t xml:space="preserve">JFrog Xray / JFrog Platform (SBOM, AI Catalog, AppTrust)</t>
  </si>
  <si>
    <t xml:space="preserve">Legit Security ASPM (AI-BOM, VibeGuard)</t>
  </si>
  <si>
    <t xml:space="preserve">Lineaje (SBOM360, xBOM Manager, UnifAI)</t>
  </si>
  <si>
    <t xml:space="preserve">Marketing claim (product pages assert GA; independent verification limited)</t>
  </si>
  <si>
    <t xml:space="preserve">Manifest Platform (SBOM, AIBOM, AI Risk)</t>
  </si>
  <si>
    <t xml:space="preserve">Manifest Cyber</t>
  </si>
  <si>
    <t xml:space="preserve">Mend SCA SBOM and Mend AI</t>
  </si>
  <si>
    <t xml:space="preserve">Mend.io</t>
  </si>
  <si>
    <t xml:space="preserve">Noma Security</t>
  </si>
  <si>
    <t xml:space="preserve">Oligo Security (Runtime AI Security)</t>
  </si>
  <si>
    <t xml:space="preserve">Oligo Security</t>
  </si>
  <si>
    <t xml:space="preserve">OpenText Core SCA (Debricked) SBOM with Fortify SSC / Core Application Security</t>
  </si>
  <si>
    <t xml:space="preserve">OpenText (Fortify; Debricked acquired 2022, rebranded OpenText Core SCA)</t>
  </si>
  <si>
    <t xml:space="preserve">Commercial (Free tier available)</t>
  </si>
  <si>
    <t xml:space="preserve">Palo Alto Networks Prisma AIRS (ex-Protect AI Guardian, Radar, Recon; ModelScan OSS)</t>
  </si>
  <si>
    <t xml:space="preserve">Palo Alto Networks</t>
  </si>
  <si>
    <t xml:space="preserve">Commercial (ModelScan open source)</t>
  </si>
  <si>
    <t xml:space="preserve">Prompt Security (SentinelOne)</t>
  </si>
  <si>
    <t xml:space="preserve">SentinelOne</t>
  </si>
  <si>
    <t xml:space="preserve">Safeguard</t>
  </si>
  <si>
    <t xml:space="preserve">Safeguard.sh Inc.</t>
  </si>
  <si>
    <t xml:space="preserve">Scribe Security (ScribeHub, Valint)</t>
  </si>
  <si>
    <t xml:space="preserve">Scribe Security</t>
  </si>
  <si>
    <t xml:space="preserve">Commercial (Valint CLI free)</t>
  </si>
  <si>
    <t xml:space="preserve">Snyk SBOM and Snyk AI-BOM</t>
  </si>
  <si>
    <t xml:space="preserve">Commercial (CLI is open source, service is SaaS)</t>
  </si>
  <si>
    <t xml:space="preserve">Sonatype SBOM Manager (Nexus One platform)</t>
  </si>
  <si>
    <t xml:space="preserve">Veracode SBOM (SCA SBOM API, Veracode CLI sbom/scan, Package Firewall)</t>
  </si>
  <si>
    <t xml:space="preserve">ZeroPath AI-BOM</t>
  </si>
  <si>
    <t xml:space="preserve">agent-bom</t>
  </si>
  <si>
    <t xml:space="preserve">msaad00 (independent open source)</t>
  </si>
  <si>
    <t xml:space="preserve">GA (community)</t>
  </si>
  <si>
    <t xml:space="preserve">bomctl</t>
  </si>
  <si>
    <t xml:space="preserve">OpenSSF (sandbox project)</t>
  </si>
  <si>
    <t xml:space="preserve">Open source</t>
  </si>
  <si>
    <t xml:space="preserve">Chainloop</t>
  </si>
  <si>
    <t xml:space="preserve">Chainloop (open source; enterprise edition)</t>
  </si>
  <si>
    <t xml:space="preserve">Open-core</t>
  </si>
  <si>
    <t xml:space="preserve">GitLab Dependency Scanning / CycloneDX SBOM</t>
  </si>
  <si>
    <t xml:space="preserve">Open-core (SBOM features in Ultimate)</t>
  </si>
  <si>
    <t xml:space="preserve">Interlynk (sbomqs, sbomasm, sbomgr, Interlynk Platform)</t>
  </si>
  <si>
    <t xml:space="preserve">Interlynk</t>
  </si>
  <si>
    <t xml:space="preserve">Kusari Platform and Kusari Inspector (GUAC)</t>
  </si>
  <si>
    <t xml:space="preserve">Open-core (GUAC is OpenSSF open source; Waybill SBOM toolkit is Kusari Apache-2.0 open source)</t>
  </si>
  <si>
    <t xml:space="preserve">GA (AI-assisted review), None for AI BOM</t>
  </si>
  <si>
    <t xml:space="preserve">Microsoft sbom-tool</t>
  </si>
  <si>
    <t xml:space="preserve">Microsoft</t>
  </si>
  <si>
    <t xml:space="preserve">OWASP AIBOM Generator</t>
  </si>
  <si>
    <t xml:space="preserve">OWASP GenAI Security Project (AIBOM initiative; originated by Aetheris AI)</t>
  </si>
  <si>
    <t xml:space="preserve">OWASP CycloneDX ecosystem (cdxgen, CycloneDX CLI, language libraries)</t>
  </si>
  <si>
    <t xml:space="preserve">OWASP Foundation / CycloneDX Core Working Group</t>
  </si>
  <si>
    <t xml:space="preserve">OWASP Foundation (Dependency-Track project)</t>
  </si>
  <si>
    <t xml:space="preserve">sbom-scorecard</t>
  </si>
  <si>
    <t xml:space="preserve">eBay (open source)</t>
  </si>
  <si>
    <t xml:space="preserve">SPDX tools (tools-python, tools-java, SPDX Online Tools; spdx-sbom-generator archived)</t>
  </si>
  <si>
    <t xml:space="preserve">SPDX / Linux Foundation</t>
  </si>
  <si>
    <t xml:space="preserve">Beta or Preview (spec GA, tooling experimental)</t>
  </si>
  <si>
    <t xml:space="preserve">Syft + Grype</t>
  </si>
  <si>
    <t xml:space="preserve">Beta or Preview</t>
  </si>
  <si>
    <t xml:space="preserve">Trivy (SBOM and VEX)</t>
  </si>
  <si>
    <t xml:space="preserve">Open source (Aqua Platform is commercial)</t>
  </si>
  <si>
    <t xml:space="preserve">Amazon Q Developer / Amazon Bedrock threat modeling (with Threat Composer MCP)</t>
  </si>
  <si>
    <t xml:space="preserve">Amazon Web Services</t>
  </si>
  <si>
    <t xml:space="preserve">Framework or method (open-source MCP servers on Bedrock)</t>
  </si>
  <si>
    <t xml:space="preserve">GA as open-source (awslabs); not an AWS supported service</t>
  </si>
  <si>
    <t xml:space="preserve">Aptori</t>
  </si>
  <si>
    <t xml:space="preserve">Aptori Inc.</t>
  </si>
  <si>
    <t xml:space="preserve">GA for testing platform; threat modeling positioning is Marketing claim</t>
  </si>
  <si>
    <t xml:space="preserve">Aribot (Aristiun Automated Threat Modeling)</t>
  </si>
  <si>
    <t xml:space="preserve">Aristiun B.V. (Netherlands)</t>
  </si>
  <si>
    <t xml:space="preserve">Marketing claim (capabilities described on site; limited independent validation, 0 Gartner PI reviews)</t>
  </si>
  <si>
    <t xml:space="preserve">DevArmor</t>
  </si>
  <si>
    <t xml:space="preserve">DevArmor Inc.</t>
  </si>
  <si>
    <t xml:space="preserve">GA (marketed); early-stage validation</t>
  </si>
  <si>
    <t xml:space="preserve">Devici</t>
  </si>
  <si>
    <t xml:space="preserve">Security Compass (acquired Devici 2025-06-03; founder Chris Romeo joined as VP)</t>
  </si>
  <si>
    <t xml:space="preserve">GA (free tier has limited AI; Code Genius and MCP are enterprise features)</t>
  </si>
  <si>
    <t xml:space="preserve">IriusRisk (now part of ThreatModeler)</t>
  </si>
  <si>
    <t xml:space="preserve">IriusRisk SL / ThreatModeler Software Inc.</t>
  </si>
  <si>
    <t xml:space="preserve">Commercial (free Community Edition)</t>
  </si>
  <si>
    <t xml:space="preserve">GA (Jeff in SaaS and Community Edition; OpenAI usage cost absorbed by vendor for first year per vendor page)</t>
  </si>
  <si>
    <t xml:space="preserve">LLM prompt-based threat modeling (general-purpose LLM: ChatGPT, Claude, Gemini, GitHub Copilot Chat)</t>
  </si>
  <si>
    <t xml:space="preserve">OpenAI / Anthropic / Google / GitHub (method, not product)</t>
  </si>
  <si>
    <t xml:space="preserve">Framework or method</t>
  </si>
  <si>
    <t xml:space="preserve">GA models; method maturity depends on prompt engineering and review</t>
  </si>
  <si>
    <t xml:space="preserve">MAESTRO (CSA), PLOT4ai, STRIDE-AI extensions</t>
  </si>
  <si>
    <t xml:space="preserve">Cloud Security Alliance (Ken Huang) / PLOT4ai (Isabel Barbera) / community</t>
  </si>
  <si>
    <t xml:space="preserve">Microsoft AI/ML threat modeling guidance and Google SAIF Risk Map</t>
  </si>
  <si>
    <t xml:space="preserve">Microsoft / Google</t>
  </si>
  <si>
    <t xml:space="preserve">Microsoft Copilot-based threat modeling (Security Copilot / M365 Copilot / GitHub Copilot)</t>
  </si>
  <si>
    <t xml:space="preserve">Marketing claim / method (no dedicated Microsoft threat modeling AI product verified)</t>
  </si>
  <si>
    <t xml:space="preserve">Microsoft Threat Modeling Tool (TMT)</t>
  </si>
  <si>
    <t xml:space="preserve">Free (proprietary)</t>
  </si>
  <si>
    <t xml:space="preserve">MITRE ATLAS (Adversarial Threat Landscape for AI Systems)</t>
  </si>
  <si>
    <t xml:space="preserve">MITRE</t>
  </si>
  <si>
    <t xml:space="preserve">NIST AI RMF 1.0 and Generative AI Profile (NIST AI 600-1)</t>
  </si>
  <si>
    <t xml:space="preserve">NIST</t>
  </si>
  <si>
    <t xml:space="preserve">Oplane</t>
  </si>
  <si>
    <t xml:space="preserve">Oplane (Malmo, Sweden; EUR 4.5M seed led by Seed Capital with Icebreaker.vc, June 2026)</t>
  </si>
  <si>
    <t xml:space="preserve">Beta or Preview (free trial; limited public evidence)</t>
  </si>
  <si>
    <t xml:space="preserve">OWASP Agentic Security Initiative: Agentic AI Threats and Mitigations, Top 10 for Agentic Applications 2026, Agent Control Standard</t>
  </si>
  <si>
    <t xml:space="preserve">OWASP GenAI Security Project (Agentic Security Initiative)</t>
  </si>
  <si>
    <t xml:space="preserve">OWASP AI Exchange</t>
  </si>
  <si>
    <t xml:space="preserve">OWASP (Rob van der Veer and contributors)</t>
  </si>
  <si>
    <t xml:space="preserve">OWASP Cornucopia and Elevation of Privilege / Cumulus (card games)</t>
  </si>
  <si>
    <t xml:space="preserve">OWASP Foundation</t>
  </si>
  <si>
    <t xml:space="preserve">Framework or method (open source, CC licences)</t>
  </si>
  <si>
    <t xml:space="preserve">OWASP Top 10 for LLM Applications (2025, and 2026 edition released Sept 2026)</t>
  </si>
  <si>
    <t xml:space="preserve">OWASP GenAI Security Project</t>
  </si>
  <si>
    <t xml:space="preserve">Prime Security (AI Security Architect)</t>
  </si>
  <si>
    <t xml:space="preserve">Prime Security</t>
  </si>
  <si>
    <t xml:space="preserve">GA (GA announced June 2025, $20M Series A Dec 2025; product page verified 2026-09-28; agent quality not independently validated)</t>
  </si>
  <si>
    <t xml:space="preserve">SD Elements (incl. Navigator AI, MCP Server, SD Elements for Agentic AI Workflow)</t>
  </si>
  <si>
    <t xml:space="preserve">Security Compass</t>
  </si>
  <si>
    <t xml:space="preserve">GA (Navigator and MCP server marketed as available; Agentic AI Workflow launched Feb 2026)</t>
  </si>
  <si>
    <t xml:space="preserve">securiCAD (foreseeti)</t>
  </si>
  <si>
    <t xml:space="preserve">foreseeti AB (Stockholm)</t>
  </si>
  <si>
    <t xml:space="preserve">GA (simulation engine); LLM features: None</t>
  </si>
  <si>
    <t xml:space="preserve">Seezo</t>
  </si>
  <si>
    <t xml:space="preserve">Seezo.io (San Francisco; Accel-led seed)</t>
  </si>
  <si>
    <t xml:space="preserve">Shostack + Associates tools (Elevation of Privilege, Threats book, Fast Cheap + Good, training)</t>
  </si>
  <si>
    <t xml:space="preserve">Shostack + Associates (Adam Shostack)</t>
  </si>
  <si>
    <t xml:space="preserve">Threat Canvas (ThreatCanvas)</t>
  </si>
  <si>
    <t xml:space="preserve">SecureFlag (note: no public evidence of a Secure Code Warrior acquisition; SCW's own 'Threat Modeling with AI' offering does not name Threat Canvas)</t>
  </si>
  <si>
    <t xml:space="preserve">Commercial (free access for OWASP members via 2024 partnership)</t>
  </si>
  <si>
    <t xml:space="preserve">ThreatModeler Nexus (incl. IaC-Assist, CloudModeler, MCP Server)</t>
  </si>
  <si>
    <t xml:space="preserve">ThreatModeler Software Inc. (Invictus Growth Partners majority owner)</t>
  </si>
  <si>
    <t xml:space="preserve">GA (Nexus agents and MCP server are marketed as shipping; independent validation of agent quality limited to 1 Gartner PI review)</t>
  </si>
  <si>
    <t xml:space="preserve">Tidal Cyber (Community and Enterprise Editions)</t>
  </si>
  <si>
    <t xml:space="preserve">Tidal Cyber</t>
  </si>
  <si>
    <t xml:space="preserve">GA (NARC AI and MCP marketed as shipping)</t>
  </si>
  <si>
    <t xml:space="preserve">Tutamen Threat Model Automator</t>
  </si>
  <si>
    <t xml:space="preserve">Tutamantic Ltd (UK/US)</t>
  </si>
  <si>
    <t xml:space="preserve">CAIRIS</t>
  </si>
  <si>
    <t xml:space="preserve">cairis-platform (Shamal Faily, academic community)</t>
  </si>
  <si>
    <t xml:space="preserve">OWASP pytm</t>
  </si>
  <si>
    <t xml:space="preserve">OWASP Foundation (Izar Tarandach and contributors)</t>
  </si>
  <si>
    <t xml:space="preserve">Beta or Preview (pytmGPT is community-contributed helper)</t>
  </si>
  <si>
    <t xml:space="preserve">OWASP Threat Dragon</t>
  </si>
  <si>
    <t xml:space="preserve">OWASP Foundation (leads: Mike Goodwin, Jon Gadsden, Leo Reading; contributor Mohamed El-Bohy)</t>
  </si>
  <si>
    <t xml:space="preserve">Precogly (OWASP Precogly)</t>
  </si>
  <si>
    <t xml:space="preserve">Precogly community; maintainer Vikramaditya Narayan (Threat Modeling Connect chapter lead, Bangalore); OWASP project</t>
  </si>
  <si>
    <t xml:space="preserve">Beta or Preview (AI features and MCP server announced in v0.4.0 on the website; GitHub Releases showed v0.2.0 dated 26 May 2026 at fetch time; pre-1.0 project)</t>
  </si>
  <si>
    <t xml:space="preserve">Red Hat agentic-threat-modeling (open-source Lola module for AI coding agents)</t>
  </si>
  <si>
    <t xml:space="preserve">Red Hat Product Security</t>
  </si>
  <si>
    <t xml:space="preserve">Beta or Preview (repository created 2026-08-07, announced publicly 21 Sep 2026; 14 stars, 4 forks, no releases at 19 Oct 2026)</t>
  </si>
  <si>
    <t xml:space="preserve">STRIDE GPT (incl. mcp-stride-gpt)</t>
  </si>
  <si>
    <t xml:space="preserve">Matt Adams (mrwadams), open source</t>
  </si>
  <si>
    <t xml:space="preserve">GA for an OSS project (v0.20.0, 2026-09-26); no vendor support</t>
  </si>
  <si>
    <t xml:space="preserve">Threagile</t>
  </si>
  <si>
    <t xml:space="preserve">Threagile project (Christian Schneider, community)</t>
  </si>
  <si>
    <t xml:space="preserve">Threat Composer (incl. Threat Composer CLI/MCP and awslabs threat-modeling-mcp-server)</t>
  </si>
  <si>
    <t xml:space="preserve">AWS Labs (Amazon Web Services)</t>
  </si>
  <si>
    <t xml:space="preserve">GA (active releases through v1.0.85, 2026-08-24)</t>
  </si>
  <si>
    <t xml:space="preserve">Threatest</t>
  </si>
  <si>
    <t xml:space="preserve">Datadog (open source)</t>
  </si>
  <si>
    <t xml:space="preserve">ThreatSpec</t>
  </si>
  <si>
    <t xml:space="preserve">threatspec project (Fraser Scott), open source</t>
  </si>
  <si>
    <t xml:space="preserve">Aptori (adjacent: autonomous AppSec, secure-by-design/CRA reporting)</t>
  </si>
  <si>
    <t xml:space="preserve">GA (testing agents)</t>
  </si>
  <si>
    <t xml:space="preserve">ArmorCode ASPM (findings-to-policy/compliance mapping)</t>
  </si>
  <si>
    <t xml:space="preserve">ArmorCode</t>
  </si>
  <si>
    <t xml:space="preserve">Conviso Platform (Requirements module / Secure by Design)</t>
  </si>
  <si>
    <t xml:space="preserve">Conviso</t>
  </si>
  <si>
    <t xml:space="preserve">None (for requirements module)</t>
  </si>
  <si>
    <t xml:space="preserve">Devici (threat modelling feeding SD Elements requirements)</t>
  </si>
  <si>
    <t xml:space="preserve">IBM DOORS Next / Siemens Polarion ALM (general RM with security use)</t>
  </si>
  <si>
    <t xml:space="preserve">IBM; Siemens Digital Industries Software</t>
  </si>
  <si>
    <t xml:space="preserve">Marketing claim (not verified this session)</t>
  </si>
  <si>
    <t xml:space="preserve">IriusRisk (countermeasures as requirements)</t>
  </si>
  <si>
    <t xml:space="preserve">IriusRisk (acquired by ThreatModeler, announced 8 Jan 2026; combined company majority owned by Invictus Growth Partners, Paladin Capital remains a shareholder)</t>
  </si>
  <si>
    <t xml:space="preserve">GA (Jeff, Bex; tenant-level enablement)</t>
  </si>
  <si>
    <t xml:space="preserve">Jama Connect (general RM with security/cybersecurity use)</t>
  </si>
  <si>
    <t xml:space="preserve">Jama Software</t>
  </si>
  <si>
    <t xml:space="preserve">GA (Advisor); other AI unverified</t>
  </si>
  <si>
    <t xml:space="preserve">Jira / Azure DevOps with requirement plugins (Requirement Yogi, Xray for Jira)</t>
  </si>
  <si>
    <t xml:space="preserve">Atlassian / Microsoft; Requirement Yogi (Play SQL); Xray (Xblend, Idera)</t>
  </si>
  <si>
    <t xml:space="preserve">GA (general-purpose AI, not security-specific)</t>
  </si>
  <si>
    <t xml:space="preserve">Jit (Security Plans)</t>
  </si>
  <si>
    <t xml:space="preserve">Marketing claim (AI agents marketed; requirement-specific AI not verified)</t>
  </si>
  <si>
    <t xml:space="preserve">Kondukto ASPM (now Invicti)</t>
  </si>
  <si>
    <t xml:space="preserve">Invicti (acquired Kondukto 14 Aug 2025)</t>
  </si>
  <si>
    <t xml:space="preserve">OWASP Application Security Requirement checklists (Proactive Controls 2024, Cheat Sheet Series, Secure by Design Framework v0.5)</t>
  </si>
  <si>
    <t xml:space="preserve">Standard or framework</t>
  </si>
  <si>
    <t xml:space="preserve">OWASP ASVS 5.0 and ASVS tooling (checklists, MCP servers)</t>
  </si>
  <si>
    <t xml:space="preserve">OWASP ASVS project; community tooling (e.g. clintcan/owasp-asvs-mcp-server)</t>
  </si>
  <si>
    <t xml:space="preserve">Beta or Preview (community MCP servers)</t>
  </si>
  <si>
    <t xml:space="preserve">OWASP MASVS 2.1 / MASTG / MAS Checklist</t>
  </si>
  <si>
    <t xml:space="preserve">OWASP MAS project</t>
  </si>
  <si>
    <t xml:space="preserve">OWASP SAMM 2.1 and SAMM tooling (Toolbox, SAMMwise, Benchmark)</t>
  </si>
  <si>
    <t xml:space="preserve">OWASP SAMM project</t>
  </si>
  <si>
    <t xml:space="preserve">Prime Security (AI security architect / design-stage review)</t>
  </si>
  <si>
    <t xml:space="preserve">Remy Security (AI security design review)</t>
  </si>
  <si>
    <t xml:space="preserve">Remy Security</t>
  </si>
  <si>
    <t xml:space="preserve">None (vendor inactive; product site no longer serves the product as of 27 Sep 2026)</t>
  </si>
  <si>
    <t xml:space="preserve">RequirementONE (adjacent: regulatory change management)</t>
  </si>
  <si>
    <t xml:space="preserve">RequirementONE</t>
  </si>
  <si>
    <t xml:space="preserve">SAMMY</t>
  </si>
  <si>
    <t xml:space="preserve">Codific</t>
  </si>
  <si>
    <t xml:space="preserve">GA (MCP connector listed on vendor site; depth unverified)</t>
  </si>
  <si>
    <t xml:space="preserve">SD Elements</t>
  </si>
  <si>
    <t xml:space="preserve">GA (Agentic AI Workflow / MCP announced Feb 2026 as released; Navigator model and data handling not disclosed)</t>
  </si>
  <si>
    <t xml:space="preserve">Secure Code Warrior (Learning, Trust Agent, AI threat modelling in IDE / 'Threat Canvas')</t>
  </si>
  <si>
    <t xml:space="preserve">Secure Code Warrior</t>
  </si>
  <si>
    <t xml:space="preserve">GA for Trust Agent: AI (announced 17 Mar 2026); threat modelling capability status unverified</t>
  </si>
  <si>
    <t xml:space="preserve">Seezo (AI security design review and requirements)</t>
  </si>
  <si>
    <t xml:space="preserve">ThreatModeler Nexus (security requirements output)</t>
  </si>
  <si>
    <t xml:space="preserve">ThreatModeler (acquired IriusRisk, announced 8 Jan 2026)</t>
  </si>
  <si>
    <t xml:space="preserve">GA (Nexus GA announced 26 June 2026)</t>
  </si>
  <si>
    <t xml:space="preserve">Tromzo ASPM</t>
  </si>
  <si>
    <t xml:space="preserve">Checkmarx (acquired Tromzo, announced 9 Dec 2025)</t>
  </si>
  <si>
    <t xml:space="preserve">GitLab Ultimate security policies and Snyk Learn (adjacent)</t>
  </si>
  <si>
    <t xml:space="preserve">GitLab; Snyk</t>
  </si>
  <si>
    <t xml:space="preserve">Open-core (GitLab) / Commercial with free tier (Snyk Learn)</t>
  </si>
  <si>
    <t xml:space="preserve">GA (Duo); not security-requirements AI</t>
  </si>
  <si>
    <t xml:space="preserve">LLM prompt-based security requirements generation from user stories (Copilot / Claude / ChatGPT with ASVS 5.0 as grounding)</t>
  </si>
  <si>
    <t xml:space="preserve">Do-it-yourself pattern (Microsoft, Anthropic, OpenAI models; ASVS JSON, OpenCRE, Cheat Sheets as corpus)</t>
  </si>
  <si>
    <t xml:space="preserve">Open source (pattern) / Commercial LLM</t>
  </si>
  <si>
    <t xml:space="preserve">Beta or Preview (no vendor accountability)</t>
  </si>
  <si>
    <t xml:space="preserve">OpenCRE and OpenCRE Chat</t>
  </si>
  <si>
    <t xml:space="preserve">OWASP OpenCRE project</t>
  </si>
  <si>
    <t xml:space="preserve">OWASP DSOMM (DevSecOps Maturity Model) app</t>
  </si>
  <si>
    <t xml:space="preserve">OWASP DSOMM project</t>
  </si>
  <si>
    <t xml:space="preserve">OWASP SecurityRAT (Security Requirement Automation Tool)</t>
  </si>
  <si>
    <t xml:space="preserve">OWASP (SecurityRAT project)</t>
  </si>
  <si>
    <t xml:space="preserve">Commercial (freemium)</t>
  </si>
  <si>
    <t xml:space="preserve">GA (AutoTriage, AutoFix, Altar open-weight model on Aikido Machine); MCP: Beta or Preview (unverified)</t>
  </si>
  <si>
    <t xml:space="preserve">Amplify Security (agentic autofix in the developer workflow)</t>
  </si>
  <si>
    <t xml:space="preserve">Marketing claim / unverified</t>
  </si>
  <si>
    <t xml:space="preserve">Apiiro AI-native ASPM (incl. Guardian Agent, AutoFix Agent)</t>
  </si>
  <si>
    <t xml:space="preserve">Apiiro</t>
  </si>
  <si>
    <t xml:space="preserve">GA (AutoFix, Guardian Agent marketed GA; some capabilities likely Preview)</t>
  </si>
  <si>
    <t xml:space="preserve">Aptori (autonomous AppSec / AI security engineer)</t>
  </si>
  <si>
    <t xml:space="preserve">GA (per vendor)</t>
  </si>
  <si>
    <t xml:space="preserve">ArmorCode Agentic Control Plane (Unified Exposure Management, Anya)</t>
  </si>
  <si>
    <t xml:space="preserve">GA (Anya marketed GA since 2025; agent-by-agent maturity unverified)</t>
  </si>
  <si>
    <t xml:space="preserve">Black Duck Polaris Platform (+ Software Risk Manager ASPM, Black Duck Signal)</t>
  </si>
  <si>
    <t xml:space="preserve">Black Duck Software (Clearlake Capital / Francisco Partners, independent since Oct 2024)</t>
  </si>
  <si>
    <t xml:space="preserve">GA (Assist; Signal with BYO-LLM and configurable agents per Sept 2026 Polaris update)</t>
  </si>
  <si>
    <t xml:space="preserve">Checkmarx (Hellman &amp; Friedman portfolio company)</t>
  </si>
  <si>
    <t xml:space="preserve">GA (Assist agents, Developer Assist, MCP); MCP scanner 'forthcoming'</t>
  </si>
  <si>
    <t xml:space="preserve">Clover Security (design-time / secure-by-design AI AppSec)</t>
  </si>
  <si>
    <t xml:space="preserve">Clover Security</t>
  </si>
  <si>
    <t xml:space="preserve">GA (Kura adaptive security context, Aug 2026, per vendor; independent verification none)</t>
  </si>
  <si>
    <t xml:space="preserve">Contrast One (Contrast Security managed runtime security platform)</t>
  </si>
  <si>
    <t xml:space="preserve">Marketing claim / unverified (page fetched lists no AI specifics)</t>
  </si>
  <si>
    <t xml:space="preserve">Corgea (AI-native AppSec platform)</t>
  </si>
  <si>
    <t xml:space="preserve">Corgea (Y Combinator)</t>
  </si>
  <si>
    <t xml:space="preserve">Cortex Cloud Application Security (formerly Prisma Cloud AppSec / Bridgecrew)</t>
  </si>
  <si>
    <t xml:space="preserve">GA (AI prioritisation, AI-SPM); AppSec-specific agents: Marketing claim / unverified</t>
  </si>
  <si>
    <t xml:space="preserve">CrowdStrike Falcon ASPM (from Bionic acquisition)</t>
  </si>
  <si>
    <t xml:space="preserve">CrowdStrike</t>
  </si>
  <si>
    <t xml:space="preserve">GA (Charlotte AI, shadow AI detection); AppSec autofix: None</t>
  </si>
  <si>
    <t xml:space="preserve">Cycode Agentic Development Security Platform</t>
  </si>
  <si>
    <t xml:space="preserve">GA (agents and MCP marketed as available; depth per agent unverified)</t>
  </si>
  <si>
    <t xml:space="preserve">DryRun Security (Contextual Security Analysis, AI-native code review)</t>
  </si>
  <si>
    <t xml:space="preserve">Endor Labs (AI-native AppSec platform)</t>
  </si>
  <si>
    <t xml:space="preserve">GA (AI SAST, AI Security Review, MCP, AI Code Governance); BYOK for AI SAST and AI Chat: Beta or Preview (private beta, Oct 2026)</t>
  </si>
  <si>
    <t xml:space="preserve">Escape (agentic DAST / API and business-logic security testing)</t>
  </si>
  <si>
    <t xml:space="preserve">Escape Technologies (France)</t>
  </si>
  <si>
    <t xml:space="preserve">Marketing claim / unverified this session (vendor page not fetchable)</t>
  </si>
  <si>
    <t xml:space="preserve">GitHub Advanced Security (Code Security + Secret Protection)</t>
  </si>
  <si>
    <t xml:space="preserve">Commercial (CodeQL free for public repos)</t>
  </si>
  <si>
    <t xml:space="preserve">GA (Copilot Autofix, agentic autofix on Enterprise Cloud from Oct 15, 2026, AI Scan for pull requests, GitHub MCP server); Copilot Memory integration for autofix: Beta or Preview (public preview, status not re-verified after GA)</t>
  </si>
  <si>
    <t xml:space="preserve">Gomboc AI (deterministic IaC/cloud remediation)</t>
  </si>
  <si>
    <t xml:space="preserve">Gomboc.ai</t>
  </si>
  <si>
    <t xml:space="preserve">GA (reported; unverified)</t>
  </si>
  <si>
    <t xml:space="preserve">HCL AppScan 360 (and AppScan on Cloud)</t>
  </si>
  <si>
    <t xml:space="preserve">GA (IFA, RapidFix, MCP server, AI SAST business-logic detection on ASoC per Sept 2026 what's-new)</t>
  </si>
  <si>
    <t xml:space="preserve">Invicti ASPM (formerly Kondukto)</t>
  </si>
  <si>
    <t xml:space="preserve">Invicti Security (acquired Kondukto; kondukto.io now redirects to invicti.com; reported Aug 2025)</t>
  </si>
  <si>
    <t xml:space="preserve">GA (Agentic Pentesting per vendor); other AI: Marketing claim</t>
  </si>
  <si>
    <t xml:space="preserve">JFrog Platform (Xray, Advanced Security, Curation, Runtime, AppTrust, AI Catalog)</t>
  </si>
  <si>
    <t xml:space="preserve">Commercial (Artifactory OSS edition exists)</t>
  </si>
  <si>
    <t xml:space="preserve">GA (AI Catalog, MCP Registry, Curation); agentic remediation: Marketing claim / unverified</t>
  </si>
  <si>
    <t xml:space="preserve">Jit Open ASPM</t>
  </si>
  <si>
    <t xml:space="preserve">Torq (acquired Jit, announced May 19, 2026; reported at roughly $70M, unconfirmed)</t>
  </si>
  <si>
    <t xml:space="preserve">Commercial (orchestrates open-source scanners)</t>
  </si>
  <si>
    <t xml:space="preserve">Beta or Preview / Marketing claim (not verified on product page)</t>
  </si>
  <si>
    <t xml:space="preserve">Legit Security AI-native ASPM (incl. VibeGuard)</t>
  </si>
  <si>
    <t xml:space="preserve">GA (VibeGuard, MCP server, agentic remediation marketed GA)</t>
  </si>
  <si>
    <t xml:space="preserve">Mend.io AppSec Platform (incl. Mend AI)</t>
  </si>
  <si>
    <t xml:space="preserve">Mend.io (WhiteSource Ltd.)</t>
  </si>
  <si>
    <t xml:space="preserve">Commercial (Renovate open source)</t>
  </si>
  <si>
    <t xml:space="preserve">GA (Mend AI, Renovate); agentic/MCP: not verified</t>
  </si>
  <si>
    <t xml:space="preserve">Mobb (vendor-neutral AI autofix; Mobb Vibe Shield)</t>
  </si>
  <si>
    <t xml:space="preserve">Commercial (free tier for individuals)</t>
  </si>
  <si>
    <t xml:space="preserve">GA (autofix); Vibe Shield: GA per vendor (unverified this session)</t>
  </si>
  <si>
    <t xml:space="preserve">Nullify (AI security engineer)</t>
  </si>
  <si>
    <t xml:space="preserve">OpenText Application Security (Fortify / Core Application Security)</t>
  </si>
  <si>
    <t xml:space="preserve">OpenText</t>
  </si>
  <si>
    <t xml:space="preserve">GA (Audit Assistant, Remediation Aviator, DAST Aviator); agentic/MCP: Fortify MCP servers, Fortify Skills and agents and in-IDE Aviator remediation referenced in the VS Code extension 26.4 release post (Sept 2026), maturity not verified</t>
  </si>
  <si>
    <t xml:space="preserve">Orca Security (CNAPP with AppSec / Code Security)</t>
  </si>
  <si>
    <t xml:space="preserve">Orca Security</t>
  </si>
  <si>
    <t xml:space="preserve">GA (MCP, AI-SPM); AppSec autofix: Beta or Preview (unverified)</t>
  </si>
  <si>
    <t xml:space="preserve">OX Security AINAPP (AI Native Application Protection Platform)</t>
  </si>
  <si>
    <t xml:space="preserve">OX Security</t>
  </si>
  <si>
    <t xml:space="preserve">GA (VibeSec, Agentic Pentester, OX Cloud AIDR/AASM GA Sept 2026)</t>
  </si>
  <si>
    <t xml:space="preserve">Phoenix Security ASPM</t>
  </si>
  <si>
    <t xml:space="preserve">Phoenix Security (UK)</t>
  </si>
  <si>
    <t xml:space="preserve">GA (agentic remediation and MCP per vendor site)</t>
  </si>
  <si>
    <t xml:space="preserve">Pixee (AI triage and autofix)</t>
  </si>
  <si>
    <t xml:space="preserve">Commercial (Pixeebot free for open source; codemodder OSS)</t>
  </si>
  <si>
    <t xml:space="preserve">GA (autofix, triage); details unverified this session</t>
  </si>
  <si>
    <t xml:space="preserve">Seemplicity (remediation operations / RemOps)</t>
  </si>
  <si>
    <t xml:space="preserve">Seemplicity</t>
  </si>
  <si>
    <t xml:space="preserve">GA (per third-party description; unverified)</t>
  </si>
  <si>
    <t xml:space="preserve">Snyk AI Security Platform (Snyk Evo, AppRisk, Snyk Studio)</t>
  </si>
  <si>
    <t xml:space="preserve">Commercial (with free tier)</t>
  </si>
  <si>
    <t xml:space="preserve">GA (Evo, ADS, AI-SPM, COS all marketed GA as of Aug 2026)</t>
  </si>
  <si>
    <t xml:space="preserve">Sonatype Nexus One Platform</t>
  </si>
  <si>
    <t xml:space="preserve">Commercial (Nexus Repository OSS edition exists)</t>
  </si>
  <si>
    <t xml:space="preserve">GA (MCP Server, AI model firewall)</t>
  </si>
  <si>
    <t xml:space="preserve">Tromzo (ASPM; tromzo.com now redirects to checkmarx.com)</t>
  </si>
  <si>
    <t xml:space="preserve">Checkmarx (acquired Tromzo, announced Dec 9, 2025; terms not disclosed)</t>
  </si>
  <si>
    <t xml:space="preserve">None / unverified</t>
  </si>
  <si>
    <t xml:space="preserve">Veracode Platform (incl. Risk Manager, formerly Longbow)</t>
  </si>
  <si>
    <t xml:space="preserve">Veracode (TA Associates portfolio company)</t>
  </si>
  <si>
    <t xml:space="preserve">GA (Veracode Fix, Risk Manager prioritisation); agents/MCP: Marketing claim / unverified</t>
  </si>
  <si>
    <t xml:space="preserve">Wiz Code (Wiz platform incl. Dazz remediation, Wiz Green agent)</t>
  </si>
  <si>
    <t xml:space="preserve">Wiz (part of Google Cloud; acquisition announced March 2025 and closed 2026-03-11 per Google; Wiz keeps its brand and multicloud support)</t>
  </si>
  <si>
    <t xml:space="preserve">GA (agents, AI-SPM, MCP); Wiz AI SAST: Beta or Preview (Public Preview, Oct 2026); Remediation/Response workflows Public Preview (Aug 2026)</t>
  </si>
  <si>
    <t xml:space="preserve">ZeroPath (AI-native SAST and autofix)</t>
  </si>
  <si>
    <t xml:space="preserve">Faraday (vulnerability management / offensive platform)</t>
  </si>
  <si>
    <t xml:space="preserve">Faraday Security</t>
  </si>
  <si>
    <t xml:space="preserve">Open-core (Community Edition GPL; Cloud/Enterprise commercial)</t>
  </si>
  <si>
    <t xml:space="preserve">GA (MCP Server in v5.21, June 2026 per vendor release page); AI triage: Marketing claim / unverified</t>
  </si>
  <si>
    <t xml:space="preserve">GitLab Ultimate (incl. GitLab Duo Agent Platform)</t>
  </si>
  <si>
    <t xml:space="preserve">Open-core (Community Edition MIT; Ultimate proprietary)</t>
  </si>
  <si>
    <t xml:space="preserve">GA (Duo Agent Platform on 18.8+; usage-credit pricing)</t>
  </si>
  <si>
    <t xml:space="preserve">OWASP DefectDojo (Community Edition) and DefectDojo Pro</t>
  </si>
  <si>
    <t xml:space="preserve">DefectDojo Inc. (OWASP Flagship project)</t>
  </si>
  <si>
    <t xml:space="preserve">Open source (BSD-3-Clause) with commercial Pro (Open-core)</t>
  </si>
  <si>
    <t xml:space="preserve">Beta or Preview (Pro Sensei AI features listed in changelog, depth unverified); Community: None</t>
  </si>
  <si>
    <t xml:space="preserve">Semgrep AppSec Platform</t>
  </si>
  <si>
    <t xml:space="preserve">Open-core (Semgrep Community Edition LGPL; Pro engine and platform commercial)</t>
  </si>
  <si>
    <t xml:space="preserve">GA (Assistant, Memories, MCP); Agentic Workflows: Beta or Preview (unverified)</t>
  </si>
  <si>
    <t xml:space="preserve">Sysdig Secure (CNAPP; container/runtime vulnerability management)</t>
  </si>
  <si>
    <t xml:space="preserve">Sysdig</t>
  </si>
  <si>
    <t xml:space="preserve">Open-core (Falco OSS; Sysdig Secure commercial)</t>
  </si>
  <si>
    <t xml:space="preserve">GA (Sage); agentic mode: Beta or Preview (unverified)</t>
  </si>
  <si>
    <t xml:space="preserve">AI capabilities across all categories</t>
  </si>
  <si>
    <t xml:space="preserve">One row per tool per category. Sort or filter by maturity. Capability text is grouped by type (triage, autofix, rules, reachability, NL query, agent/MCP, AI-code scanning, model used).</t>
  </si>
  <si>
    <t xml:space="preserve">AI capabilities (by type)</t>
  </si>
  <si>
    <t xml:space="preserve">AI verified source</t>
  </si>
  <si>
    <t xml:space="preserve">Last verified</t>
  </si>
  <si>
    <t xml:space="preserve">Ai triage false positive reduction: AutoTriage: AI marks irrelevant findings/FPs and applies reachability and context (Basic tier and above)
Ai autofix: AI AutoFix: one-click fix opens a pull request (auto-PR) for SAST and IaC findings; 10/month on free tier, unlimited on paid
Ai generated custom rules: Not publicly documented as user feature (AI-generated rules used internally)
Ai reachability or dataflow explanation: AI explanations per finding
Natural language query: Not documented
Agent mcp ide agent integration: IDE plugins for VS Code/JetBrains/Cursor; Aikido MCP server (vendor site) for coding agents
Llm generated code scanning: AI SAST positioned for AI-generated code; PR Security Review
Model used or byo llm: Vendor-hosted for SaaS AI features (model not disclosed; 'credits' consumed for advanced AI); Altar-1 open-weight model (GLM-5.3 derivative) available for on-prem Aikido Machine pentest appliance (Sep 2026); use for SAST autofix/triage not confirmed</t>
  </si>
  <si>
    <t xml:space="preserve">https://www.aikido.dev/features/autofix</t>
  </si>
  <si>
    <t xml:space="preserve">2026-10-05</t>
  </si>
  <si>
    <t xml:space="preserve">Ai triage false positive reduction: AI triage of imported and native findings (vendor)
Ai autofix: Automated remediation PRs ('one-click remediations out of the box', customisable); original product was an AI code fixer for SAST findings
Ai generated custom rules: Yes: AI-assisted authoring of custom detection agents / Opengrep rules
Ai reachability or dataflow explanation: Fix rationale in PR
Natural language query: Agent definitions in natural language plus CLI
Agent mcp ide agent integration: CLI-driven agents; IDE/MCP integration not documented
Llm generated code scanning: Not specifically marketed
Model used or byo llm: Not publicly disclosed</t>
  </si>
  <si>
    <t xml:space="preserve">https://amplify.security/</t>
  </si>
  <si>
    <t xml:space="preserve">Ai triage false positive reduction: Yes: AI reasoning agents validate deterministic findings
Ai autofix: Fix suggestions in PR/ChatOps; auto-PR for secrets mitigation (vendor)
Ai generated custom rules: Agentic rules: security requirements injected into coding agents
Ai reachability or dataflow explanation: AI explanations
Natural language query: Not documented
Agent mcp ide agent integration: Integrations with Claude, Copilot, Cursor, Gemini coding agents
Llm generated code scanning: Explicitly positioned to secure AI-generated code
Model used or byo llm: Not publicly disclosed</t>
  </si>
  <si>
    <t xml:space="preserve">https://www.arnica.io/</t>
  </si>
  <si>
    <t xml:space="preserve">2026-09-26</t>
  </si>
  <si>
    <t xml:space="preserve">Ai triage false positive reduction: AI-assisted issue triage in Coverity (GA Jul 2026) targeting C/C++ false positives, runs on customer's own LLM; Signal ranks and validates findings
Ai autofix: Black Duck Assist: IDE-integrated fix suggestions; Signal: agentic remediation suggestions (auto-PR not confirmed)
Ai generated custom rules: AI-powered checker for IDOR in JS/TS (Jul 2026); user AI-generated custom checkers not documented
Ai reachability or dataflow explanation: Coverity path/event trace native; Assist explains findings
Natural language query: Not documented
Agent mcp ide agent integration: Coverity MCP server lets agents trigger local scans and pull findings; Signal integrates with AI coding agents
Llm generated code scanning: Signal is explicitly positioned to secure AI-generated code
Model used or byo llm: Customer's choice of LLM (BYO) for Coverity AI triage; Signal agents can run on customer infrastructure or Black Duck-managed endpoints with a different provider/model per agent, results uploaded to Polaris as SARIF (Sep 2026); Assist model not disclosed</t>
  </si>
  <si>
    <t xml:space="preserve">https://www.itsecurityguru.org/2026/07/14/black-duck-adds-ai-powered-triage-and-cra-ready-checks-to-coverity-static-analysis/</t>
  </si>
  <si>
    <t xml:space="preserve">2026-10-19</t>
  </si>
  <si>
    <t xml:space="preserve">Ai triage false positive reduction: Triage Assist agent: autonomous prioritisation by reachability and exploitability with context; triage decisions propagate automatically to identical findings in subsequent scans (Sep 2026); also AI Security Champion / result confidence scoring (GA per Mar 2026 release)
Ai autofix: Remediation Assist: generates review-ready fixes for eligible SAST and SCA findings and can open pull requests directly on GitHub-integrated repos (SCM-neutral guidance elsewhere); consumes Checkmarx Credits (Sep 2026 blog). Developer Assist provides real-time IDE fixes (GA Aug 2025)
Ai generated custom rules: AI SAST engine is LLM-plus-query hybrid; user AI-generated custom CxQL queries not documented
Ai reachability or dataflow explanation: Attack-vector / data-flow visualisation is native; AI explanation via Developer Assist chat
Natural language query: Developer Assist chat in IDE (vendor description)
Agent mcp ide agent integration: Developer Assist runs inside AI IDEs (Cursor, Windsurf, GitHub Copilot); Checkmarx One Assist agent family; MCP server offered (vendor claim, not independently verified)
Llm generated code scanning: Explicitly positioned for AI-generated code; AI SAST hybrid engine (Mar 2026)
Model used or byo llm: Not publicly disclosed (vendor-hosted)</t>
  </si>
  <si>
    <t xml:space="preserve">https://www.globenewswire.com/news-release/2026/03/16/3256259/0/en/Checkmarx-Redefines-Application-Security-for-the-Age-of-Agentic-Development.html</t>
  </si>
  <si>
    <t xml:space="preserve">Ai triage false positive reduction: Yes: three-tier verification (reachability, exploitability, blast radius)
Ai autofix: Yes: drafts fix PRs ('all you have to do is merge')
Ai generated custom rules: Custom review instructions in natural language (core product)
Ai reachability or dataflow explanation: Exploit path explanation
Natural language query: Chat with CodeRabbit in PR
Agent mcp ide agent integration: Native GitHub/GitLab/Azure DevOps/Bitbucket app; IDE extension; MCP for context (vendor)
Llm generated code scanning: Positioned against AI-enabled attackers and AI-generated code
Model used or byo llm: Multiple frontier LLMs (OpenAI/Anthropic) per vendor docs; not selectable</t>
  </si>
  <si>
    <t xml:space="preserve">https://www.coderabbit.ai/security</t>
  </si>
  <si>
    <t xml:space="preserve">2026-09-27</t>
  </si>
  <si>
    <t xml:space="preserve">Ai triage false positive reduction: Runtime-context prioritisation (Contrast Score, Graph) rather than LLM triage; SmartFix validates fixes
Ai autofix: AI SmartFix: creates pull requests with proposed remediation for Assess (IAST) and Scan (SAST) findings via GitHub Actions; SAST-only mode for Northstar users (auto-PR)
Ai generated custom rules: Not offered
Ai reachability or dataflow explanation: Runtime dataflow evidence native; SmartFix explains
Natural language query: Not documented
Agent mcp ide agent integration: GitHub Actions integration; MCP/IDE-agent integration not documented (unverified)
Llm generated code scanning: Marketed as securing AI-generated code via runtime verification
Model used or byo llm: Bring-your-own LLM (customer selects provider; usage subject to provider terms)</t>
  </si>
  <si>
    <t xml:space="preserve">https://docs.contrastsecurity.com/en/contrast-ai-smartfix.html</t>
  </si>
  <si>
    <t xml:space="preserve">2026-09-28</t>
  </si>
  <si>
    <t xml:space="preserve">Ai triage false positive reduction: Auto-triage re-grades severity using exploitability, impact, reachability; vendor claim up to 90% noise reduction; works on imported scanner results
Ai autofix: AI fix generation delivered as PR / suggestion for developer review (vendor: &gt;90% accuracy)
Ai generated custom rules: Custom policies in natural language (vendor site, limited detail)
Ai reachability or dataflow explanation: Finding explanation with file/line and remediation tips
Natural language query: Not documented
Agent mcp ide agent integration: MCP server for agentic workflows; IDE plugin
Llm generated code scanning: Positioned for AI-generated code
Model used or byo llm: Not publicly disclosed</t>
  </si>
  <si>
    <t xml:space="preserve">https://corgea.com/auto-triage</t>
  </si>
  <si>
    <t xml:space="preserve">Ai triage false positive reduction: Severity and attack-path reasoning; dismissal memory per PR
Ai autofix: Proposed fix per finding, applied via Cursor editor or Background Agent (suggested, not auto-PR)
Ai generated custom rules: Yes: custom natural-language security rules
Ai reachability or dataflow explanation: Attack pathway explanation
Natural language query: Cursor chat
Agent mcp ide agent integration: Native to Cursor IDE and Background Agent
Llm generated code scanning: Built for reviewing agent-generated code
Model used or byo llm: Cursor-selected frontier models; not disclosed per feature</t>
  </si>
  <si>
    <t xml:space="preserve">https://cursor.com/changelog</t>
  </si>
  <si>
    <t xml:space="preserve">Ai triage false positive reduction: Core: all findings are LLM-reasoned with context; vendor claims ~90% FP reduction vs legacy SAST
Ai autofix: Fix suggestions in PR comments (suggested); autonomous PR not documented
Ai generated custom rules: Yes: natural-language custom policies (Custom Policy Agent)
Ai reachability or dataflow explanation: LLM explanation of intent and dataflow per finding
Natural language query: Natural-language policy authoring; chat via MCP
Agent mcp ide agent integration: MCP for Claude Code, Claude Desktop, Cursor, Codex; enforces policy in agentic coding workflows
Llm generated code scanning: Explicitly positioned for AI-generated code at PR time
Model used or byo llm: Not publicly disclosed</t>
  </si>
  <si>
    <t xml:space="preserve">https://www.dryrun.security/product/sast</t>
  </si>
  <si>
    <t xml:space="preserve">Ai triage false positive reduction: Triage agents validate LLM detections with dataflow/syntax analysis; vendor early-test claim: 95% of FPs eliminated
Ai autofix: Remediation agents recommend fixes on PRs (suggested; auto-PR for SCA 'Patches' product)
Ai generated custom rules: Yes: custom security checks defined in natural language, executed by detection agents
Ai reachability or dataflow explanation: Call-graph reachability explanation native; agents explain findings
Natural language query: Natural-language check authoring
Agent mcp ide agent integration: MCP server for coding agents; AI Coding Agent Governance product; IDE plugins
Llm generated code scanning: Explicitly positioned for AI-generated code review
Model used or byo llm: Hosted service model not publicly disclosed (frontier models per vendor); BYOK (private beta, Oct 2026) lets customers run AI SAST and AI Chat on their own OpenAI, Azure OpenAI, Google Gemini or Vertex AI accounts through the Endor Labs AI Gateway, with encrypted key storage or environment-variable keys, region pinning for Azure/Vertex and no fallback to Endor credentials; Anthropic and Bedrock not listed</t>
  </si>
  <si>
    <t xml:space="preserve">https://www.prnewswire.com/news-releases/endor-labs-debuts-ai-native-multi-modal-sast-marking-a-new-era-in-code-flaw-detection-302619629.html</t>
  </si>
  <si>
    <t xml:space="preserve">Ai triage false positive reduction: No AI dismissal/triage of CodeQL alerts; AI Scan adds AI-based security detection on PRs for languages and frameworks CodeQL does not cover (GA 15 Oct 2026; findings advisory, marked 'AI', github.com Code Security/GHAS, free on public repos; GHES availability not stated); AI Scan enablement status and metrics in security overview (Oct 2026); AI-assisted detection also in Code Quality (maintainability)
Ai autofix: Copilot Autofix: suggested fixes inline on PR / alert page, developer commits; can be applied at scale via security campaigns. Agentic autofix (GA 15 Oct 2026, Enterprise Cloud): alert assigned to Copilot, agent explores the codebase, proposes a fix, reruns CodeQL to confirm closure and opens a draft PR (auto-PR); bulk up to 25 alerts per PR, REST API assignee copilot-swe-agent[bot], uses Copilot Memory to reuse fix patterns; replaces the free 'Generate Fix' option and consumes Code Security AI Credits plus Actions minutes
Ai generated custom rules: Not offered natively (Copilot can help write CodeQL, but no product feature)
Ai reachability or dataflow explanation: Copilot Autofix generates natural-language explanation of the vulnerability and fix; CodeQL path view native
Natural language query: Not offered
Agent mcp ide agent integration: Copilot coding agent can be assigned alerts; GitHub MCP server exposes code scanning alerts to agents; Copilot in IDE
Llm generated code scanning: Code scanning runs on any PR incl. Copilot-generated; no special mode
Model used or byo llm: GitHub Copilot internal APIs (OpenAI/Anthropic models per Copilot policy); not selectable per feature</t>
  </si>
  <si>
    <t xml:space="preserve">https://github.blog/changelog/2026-10-15-agentic-autofix-for-code-scanning-alerts-general-availability</t>
  </si>
  <si>
    <t xml:space="preserve">Ai triage false positive reduction: AI review with codebase context; feedback learning
Ai autofix: Suggested fixes in PR comments
Ai generated custom rules: Custom rules in natural language
Ai reachability or dataflow explanation: Context-aware explanations
Natural language query: Chat over codebase
Agent mcp ide agent integration: GitHub/GitLab app; MCP (vendor)
Llm generated code scanning: Marketed for AI-generated code review
Model used or byo llm: Not publicly disclosed</t>
  </si>
  <si>
    <t xml:space="preserve">https://www.greptile.com/content-library/best-security-code-review-tools</t>
  </si>
  <si>
    <t xml:space="preserve">Ai triage false positive reduction: Intelligent Finding Analytics (ML) plus RapidFix agentic triage that prioritises and filters FPs with 'humanized insights' (any language); RapidFix now enable/disable at organisation and asset-group level (Sep 2026)
Ai autofix: RapidFix: production-ready fixes via deterministic Codemodder framework with LLM assist; delivered on PRs/repos (auto-PR mechanics not fully documented)
Ai generated custom rules: Not documented
Ai reachability or dataflow explanation: RapidFix explanations; trace view native
Natural language query: Not documented
Agent mcp ide agent integration: IDE plugins; MCP/agent integration not publicly documented (unverified)
Llm generated code scanning: AI SAST engine on AppScan on Cloud extends detection to business-logic flaws (opt-in per scan config, Sep 2026); marketed as securing AI-generated code (vendor site)
Model used or byo llm: LLM used not disclosed</t>
  </si>
  <si>
    <t xml:space="preserve">https://www.hcl-software.com/appscan/products/rapidfix</t>
  </si>
  <si>
    <t xml:space="preserve">Ai triage false positive reduction: AI prioritisation with runtime context
Ai autofix: AI fix suggestions in PR (vendor)
Ai generated custom rules: Not documented
Ai reachability or dataflow explanation: Context explanation
Natural language query: Not documented
Agent mcp ide agent integration: VS Code, Slack; MCP not documented
Llm generated code scanning: Not specifically marketed
Model used or byo llm: Not publicly disclosed</t>
  </si>
  <si>
    <t xml:space="preserve">https://www.jit.io/</t>
  </si>
  <si>
    <t xml:space="preserve">Ai triage false positive reduction: Yes: runtime context plus Kai Red exploit confirmation filters non-reachable findings
Ai autofix: Yes: Kai Blue creates ready-to-review PRs and verifies fix
Ai generated custom rules: Not documented
Ai reachability or dataflow explanation: Runtime reachability evidence per finding
Natural language query: Not documented
Agent mcp ide agent integration: Runtime AI Security attributes AI-agent actions; IDE and PR checks; MCP not documented
Llm generated code scanning: Marketed for AI-generated code
Model used or byo llm: OpenAI frontier cyber models via the Daybreak Cyber Partner Program for exploitability validation and agent governance (Sep 2026); other models not disclosed; BYO LLM not documented</t>
  </si>
  <si>
    <t xml:space="preserve">https://www.kodemsecurity.com/platform/sast</t>
  </si>
  <si>
    <t xml:space="preserve">Ai triage false positive reduction: Limited: fix-eligibility classification rather than full triage
Ai autofix: Yes: auto-PR, ready-to-merge, deterministic-first with LLM assist
Ai generated custom rules: Not offered
Ai reachability or dataflow explanation: Fix explanation in PR
Natural language query: Not documented
Agent mcp ide agent integration: IDE extension (VS Code) and GitHub/GitLab/Azure DevOps apps; MCP not verified
Llm generated code scanning: Marketed: 'visibility into AI-generated code and predictable remediation'
Model used or byo llm: Hybrid deterministic plus LLM; provider not disclosed</t>
  </si>
  <si>
    <t xml:space="preserve">https://www.mobb.ai/</t>
  </si>
  <si>
    <t xml:space="preserve">Ai triage false positive reduction: Yes: auto-suppression of noise and exploit validation before routing
Ai autofix: Yes: auto-PR with self-healing loop until CI passes
Ai generated custom rules: Not documented
Ai reachability or dataflow explanation: Exploit evidence and reasoning per finding
Natural language query: Chat-style agent interaction in Slack (vendor)
Agent mcp ide agent integration: Slack, Jira, GitHub-native agents; MCP not documented
Llm generated code scanning: Positioned for AI-era code volume
Model used or byo llm: Not publicly disclosed</t>
  </si>
  <si>
    <t xml:space="preserve">https://www.nullify.ai/</t>
  </si>
  <si>
    <t xml:space="preserve">Ai triage false positive reduction: Fortify Aviator audits SAST results, sorting true from false positives with plain-language reasoning (GA, add-on); Audit Assistant ML as fallback
Ai autofix: Aviator suggests contextual fixes for developer review with optional auto-remediation 'where safe' (vendor); Aviator fixes can be applied directly from VS Code 26.4 (Sep 2026); auto-PR not confirmed
Ai generated custom rules: Not documented (custom rules via Fortify rulepack XML)
Ai reachability or dataflow explanation: Aviator explanations; dataflow trace native
Natural language query: Not documented
Agent mcp ide agent integration: Fortify Code Security for VS Code 26.4 adds Fortify MCP server support (Core Application Security, ScanCentral SAST/DAST, Remediation Aviator) and auto-updated fcli skills/agents; runs in AWS Kiro and Google Antigravity (vendor release note, Sep 2026)
Llm generated code scanning: Detects prompt injection, model abuse in AI-augmented apps (vendor)
Model used or byo llm: OpenText-hosted LLM; source not used for training, cost included in subscription, model not named</t>
  </si>
  <si>
    <t xml:space="preserve">https://blogs.opentext.com/opentext-fortify-remediation-aviator-audit-every-finding-fix-whats-real/</t>
  </si>
  <si>
    <t xml:space="preserve">Ai triage false positive reduction: Yes: exploitability analysis triages scanner findings before developers see them (vendor claim up to 95% FP reduction)
Ai autofix: Yes: auto-PR (deterministic codemods plus LLM MagicMods, validated by Fix Evaluation Agent)
Ai generated custom rules: Not offered (detection is delegated to upstream scanners)
Ai reachability or dataflow explanation: Fix rationale in PR; exploitability reasoning
Natural language query: Not documented
Agent mcp ide agent integration: GitHub/GitLab/Bitbucket/Azure DevOps apps; MCP not documented
Llm generated code scanning: Not specifically marketed
Model used or byo llm: Vendor-hosted or self-hosted LLM for air-gapped deployments (model not named)</t>
  </si>
  <si>
    <t xml:space="preserve">https://www.pixee.ai/blog/veracode-alternatives</t>
  </si>
  <si>
    <t xml:space="preserve">Ai triage false positive reduction: ML-driven prioritisation; DeepCode engine trained on curated dataset; explicit 'AI triage' agent not documented as separate product
Ai autofix: Snyk Agent Fix (ex-DeepCode AI Fix): agentic loop (generate, verify by re-scan, retry) suggests fixes in IDE plugin; developer applies; no auto-PR for SAST fixes (docs, May 2026)
Ai generated custom rules: Not offered (rules are proprietary, not user-authored)
Ai reachability or dataflow explanation: Data-flow view native; AI explanation in IDE and Snyk Studio
Natural language query: Not documented
Agent mcp ide agent integration: Snyk MCP server / Snyk Studio for Cursor, Copilot, Windsurf, Claude Code; Evo Agentic Development Security (GA Jun 2026) vets MCP servers and scans agent-generated code; CLI v1.1307.4 (23 Sep 2026) adds experimental 'snyk studio install' for Cursor, Claude Code, Codex, Copilot, Gemini, Kiro, Windsurf
Llm generated code scanning: Core marketing: 'secure AI-generated code'; Evo ADS scans agent output as created
Model used or byo llm: Proprietary hybrid symbolic + LLM; fix examples from 35k+ expert fix database; underlying LLM not disclosed</t>
  </si>
  <si>
    <t xml:space="preserve">https://docs.snyk.io/scan-fix-and-prevent/scan-with-snyk/snyk-code/manage-code-vulnerabilities/fix-code-vulnerabilities-automatically</t>
  </si>
  <si>
    <t xml:space="preserve">Ai triage false positive reduction: ML-based flaw confidence and policy tuning; AI triage marketed as part of Risk Manager prioritisation (limited public detail)
Ai autofix: Veracode Fix: suggested fixes for SAST flaws (IDE/CLI, developer selects a fix, covers &gt;70% of detected flaws in 10 languages); Veracode Fix for SCA (Mar 2026) produces multi-file, ready-to-merge PRs (auto-PR)
Ai generated custom rules: Not offered
Ai reachability or dataflow explanation: Data-path/call-stack detail is native; AI explanation of flaws in IDE (Veracode Fix)
Natural language query: Not documented
Agent mcp ide agent integration: IDE plugins for VS Code, JetBrains, Visual Studio; MCP/agent integration: not publicly documented as of Sep 2026 (unverified)
Llm generated code scanning: Veracode publishes annual GenAI Code Security Report (2026: 56% pass rate) and markets scanning of AI-generated code
Model used or byo llm: Proprietary 'logic-driven AI' plus vendor-hosted LLM; model not disclosed</t>
  </si>
  <si>
    <t xml:space="preserve">https://www.helpnetsecurity.com/2026/03/18/veracode-fix-for-sca/</t>
  </si>
  <si>
    <t xml:space="preserve">Ai triage false positive reduction: AI triage and dedup of own and imported findings (vendor)
Ai autofix: One-click autofix: AI-generated patches, customisable, opened as PR
Ai generated custom rules: Custom policies via natural language (vendor site, unverified detail)
Ai reachability or dataflow explanation: LLM explanations with reachability context
Natural language query: Not documented
Agent mcp ide agent integration: MCP not mentioned on pricing page; GitHub/GitLab app based
Llm generated code scanning: Positioned for AI-generated code
Model used or byo llm: Not publicly disclosed; Enterprise may allow private model hosting (unverified)</t>
  </si>
  <si>
    <t xml:space="preserve">https://zeropath.com/products/sast</t>
  </si>
  <si>
    <t xml:space="preserve">Ai triage false positive reduction: Not offered / not documented
Ai autofix: Not offered / not documented
Ai generated custom rules: Not offered / not documented
Ai reachability or dataflow explanation: Not offered / not documented
Natural language query: Not offered / not documented
Agent mcp ide agent integration: Not offered / not documented
Llm generated code scanning: Not specifically marketed
Model used or byo llm: Not publicly disclosed</t>
  </si>
  <si>
    <t xml:space="preserve">https://github.com/PyCQA/bandit</t>
  </si>
  <si>
    <t xml:space="preserve">Ai triage false positive reduction: AI exploitability triage and ranking; agentic scanning 'disproves' findings before developer review (GA Sep 2026 per PR)
Ai autofix: AI-powered code resolution / fix suggestions in PR (suggested); auto-PR not confirmed
Ai generated custom rules: Yes: LLM generates and customises SAST rule configurations (Cycode 'AI-powered SAST' dimension)
Ai reachability or dataflow explanation: Attack chaining explains exploit paths across findings
Natural language query: Not documented
Agent mcp ide agent integration: IDE plugins; Cycode MCP server (vendor site, unverified); agentic scanning uses reasoning-tier models selectively
Llm generated code scanning: Positioned for 'post-Mythos era' AI-generated code
Model used or byo llm: Reasoning-tier frontier models used selectively; provider not disclosed</t>
  </si>
  <si>
    <t xml:space="preserve">https://www.prnewswire.com/news-releases/cycode-releases-agentic-code-scanning-and-attack-chaining-post-mythos-eras-answer-to-cost-vs-precision-tradeoff-302866093.html</t>
  </si>
  <si>
    <t xml:space="preserve">https://brakemanscanner.org/</t>
  </si>
  <si>
    <t xml:space="preserve">Ai triage false positive reduction: SAST false positive detection (Duo) plus Vulnerability Context Flow that produces AI-generated triage context (authentication, authorisation, sensitive-data handling); group-level Automated Triage and Remediation profiles (19.4, Sep 2026, requires Duo Agent Platform); from 19.5 (Oct 2026) SAST FP detection, SAST Vulnerability Resolution and Secret FP detection also run on tracked non-default branches; Business Logic Security Analyzer flow (closed beta, GitLab.com, GitLab Credits) looks for broken object-level authorisation and missing authorisation checks; Advanced SAST engine reduces FPs deterministically
Ai autofix: Duo Vulnerability Resolution: opens a merge request with a suggested fix (developer reviews); GA for SAST findings in Ultimate with Duo
Ai generated custom rules: Not offered (custom rules via Semgrep-style rulesets for basic SAST)
Ai reachability or dataflow explanation: Duo Vulnerability Explanation: LLM explains finding and exploit; code-flow view native
Natural language query: GitLab Duo Chat can answer questions about vulnerabilities in context
Agent mcp ide agent integration: GitLab Duo Agent Platform (2026) with security agents; GitLab MCP server GA in 19.5 (Oct 2026, all tiers) exposes vulnerability tools (list_vulnerabilities, get_vulnerability, save_vulnerability, added 19.4), Duo agent/flow tools, artifact and group tools, with admin toolset selection and per-user rate limits (60/min Free, 600/min Premium and Ultimate); Externally Connected Agents (Claude Code, Cursor, Codex) report sessions to the AI Governance dashboard via glab govern setup (beta, 19.5)
Llm generated code scanning: Standard scanning applies to Duo-generated code
Model used or byo llm: Anthropic Claude and Google Vertex models via GitLab-hosted; Self-Hosted Duo allows BYO models (Mistral, Llama, etc.) for self-managed</t>
  </si>
  <si>
    <t xml:space="preserve">https://docs.gitlab.com/user/application_security/sast/gitlab_advanced_sast/</t>
  </si>
  <si>
    <t xml:space="preserve">Ai triage false positive reduction: Not offered / not documented
Ai autofix: Not offered / not documented
Ai generated custom rules: Not offered / not documented
Ai reachability or dataflow explanation: Not offered / not documented
Natural language query: Not offered / not documented
Agent mcp ide agent integration: Community wrappers only
Llm generated code scanning: Not specifically marketed
Model used or byo llm: Not publicly disclosed</t>
  </si>
  <si>
    <t xml:space="preserve">https://github.com/securego/gosec</t>
  </si>
  <si>
    <t xml:space="preserve">Ai triage false positive reduction: None in engine (AI features come from commercial wrappers such as Aikido, Endor)
Ai autofix: None (rule-based 'fix' patterns only)
Ai generated custom rules: None natively; vendors (Amplify, Aikido) generate Opengrep rules with AI
Ai reachability or dataflow explanation: None
Natural language query: None
Agent mcp ide agent integration: Community MCP wrappers exist; not an official project feature (unverified)
Llm generated code scanning: N/A
Model used or byo llm: N/A</t>
  </si>
  <si>
    <t xml:space="preserve">https://www.opengrep.dev/</t>
  </si>
  <si>
    <t xml:space="preserve">https://github.com/pmd/pmd/releases</t>
  </si>
  <si>
    <t xml:space="preserve">Ai triage false positive reduction: Semgrep Assistant noise filtering: LLM classifies findings as true/false positive with 'memories' that learn org-specific decisions; vendor claims 96% agreement, 60% of SAST findings filtered (Oct 2025 PR)
Ai autofix: Assistant autofix: suggested fix as PR comment/suggestion (developer accepts); also fix via IDE; not autonomous PR
Ai generated custom rules: Assistant can generate custom Semgrep rules from natural-language prompts and from triage patterns (vendor docs)
Ai reachability or dataflow explanation: Assistant explains dataflow and why a finding matters; taint trace native in Pro
Natural language query: Rule generation from NL; no free-form query over findings documented
Agent mcp ide agent integration: Semgrep MCP server (open source) for Cursor/Claude Code/Copilot; IDE extensions; Semgrep in AI coding agent workflows
Llm generated code scanning: Marketed for scanning AI-generated code in PRs
Model used or byo llm: OpenAI / Anthropic via Semgrep cloud; BYO LLM not offered (unverified)</t>
  </si>
  <si>
    <t xml:space="preserve">https://semgrep.dev/blog/2025/announcing-ai-noise-filtering-and-triage-memories/</t>
  </si>
  <si>
    <t xml:space="preserve">Ai triage false positive reduction: No LLM triage of existing SAST findings documented; Hunter Agent (GA on Cloud Enterprise and on Server Enterprise/Data Center from 2026.5 LTA, Sep 2026) is an on-demand background agent that uses guided reasoning to find broken access control, business-logic and authentication flaws and reports them as standard SonarQube issues (vendor description)
Ai autofix: AI CodeFix: suggested fixes (developer applies), self-deployed and model-agnostic on Server from 2026.5; SonarQube Remediation Agent (Cloud Jun 2026; GA on Server Enterprise/Data Center Sep 2026): assigns backlog issues, generates fixes that are re-analysed by SonarQube before reaching the developer, raises ready-to-merge PRs on GitHub, GitLab and Azure DevOps (auto-PR)
Ai generated custom rules: Not offered
Ai reachability or dataflow explanation: Taint flow visualisation native; AI CodeFix explains fix
Natural language query: Not documented
Agent mcp ide agent integration: Sonar Vortex injects project standards into AI coding agents and verifies output inside the agent loop (CLI or MCP; vendor claims up to 30% lower token use via Semantic Code Navigation); SonarQube MCP Server embedded in SonarQube Server (since 2026.3, included in the 2026.5 LTA) over HTTP/SSE, compatible with Cursor, Claude Code and GitHub Copilot, with central kill-switch; IDE plugin
Llm generated code scanning: AI Code Assurance: flags AI-generated code projects and enforces stricter quality gate
Model used or byo llm: Vendor-hosted LLMs (Anthropic/OpenAI via cloud) with BYOK/BYO LLM on Enterprise; Server 2026.5 adds Enterprise AI Connectivity: admins register LLM providers centrally (AWS Bedrock, Azure Foundry incl. APIM for Azure OpenAI, proxies, BYO) for Remediation Agent, AI CodeFix and Hunter Agent; Hunter Agent on Server runs on the customer's own Anthropic key; open-weight model support stated as coming soon; Sonar joined the OpenAI Daybreak Defense Network (Oct 2026) and says OpenAI GPT Cyber Models will back Hunter Agent reasoning (no availability date given)</t>
  </si>
  <si>
    <t xml:space="preserve">https://www.sonarsource.com/company/press-releases/sonarqube-server-2026-5-lta-release/</t>
  </si>
  <si>
    <t xml:space="preserve">https://find-sec-bugs.github.io/</t>
  </si>
  <si>
    <t xml:space="preserve">Ai triage reachability prioritisation: Yes: reachability and auto-triage of false positives
Ai auto remediation upgrade prs: Yes: AI AutoFix PRs (unlimited on paid tiers); patched library/image variants; Deep PR Review can run on the on-prem Altar model (Sept 2026)
Malicious package detection ml llm: Yes: Aikido Intel ML/LLM-assisted malware analysis of packages; Safe Chain enforcement
Natural language query: Partial: not publicly confirmed
Agent mcp integration: Yes: MCP server and IDE agent integrations; Device Protection inspects packages, extensions and AI tools pre-install
Ai model or ai library dependency detection: Partial: AI tools inventory on devices; AI-BOM not confirmed
Model used or byo llm: Aikido Altar: open-weight model derived from Z.ai GLM-5.3 (328 GB, 4x H200 with vLLM), weights on Hugging Face under the GLM-5.3 license, deployable on-prem/air-gapped for Aikido Machine, Attack, Code Security Audit and Deep PR Review (Sept 2026); hosted models for other features not publicly disclosed; credits for advanced AI features</t>
  </si>
  <si>
    <t xml:space="preserve">https://www.aikido.dev/pricing</t>
  </si>
  <si>
    <t xml:space="preserve">Ai triage reachability prioritisation: Yes for agent add-ons
Ai auto remediation upgrade prs: No
Malicious package detection ml llm: Yes: malicious agent tool detection
Natural language query: Not confirmed
Agent mcp integration: Yes: core focus
Ai model or ai library dependency detection: Yes: agent/skill inventory
Model used or byo llm: not publicly disclosed</t>
  </si>
  <si>
    <t xml:space="preserve">https://techcrunch.com/2026/09/01/air-raises-50m-to-help-companies-vet-the-skills-and-add-ons-ai-agents-use/</t>
  </si>
  <si>
    <t xml:space="preserve">Ai triage reachability prioritisation: Yes: dynamic severity with reachability and threat intel
Ai auto remediation upgrade prs: Yes: AI-generated fix recommendations and automated secret removal
Malicious package detection ml llm: Partial: package hygiene and release-age controls; ML detection not disclosed
Natural language query: No
Agent mcp integration: Yes: detects AI coding tools and MCP servers, governs agent permissions
Ai model or ai library dependency detection: Partial
Model used or byo llm: not publicly disclosed</t>
  </si>
  <si>
    <t xml:space="preserve">https://www.arnica.io/blog/reachable-open-source-risk-prioritization</t>
  </si>
  <si>
    <t xml:space="preserve">Ai triage reachability prioritisation: Partial: BDSA enrichment, exploitability and reachability signals; no published function-level reachability comparable to Endor/Semgrep (unverified)
Ai auto remediation upgrade prs: Partial: Black Duck Assist provides AI-driven code fixes in IDE (Aug 2025), oriented to SAST; SCA upgrade guidance not agentic; Polaris self-hosted SCM support enables PR-driven remediation workflows (Sept 2026)
Malicious package detection ml llm: Partial: malicious package detection listed for some ecosystems; ML/LLM method not disclosed
Natural language query: Yes: Polaris AI chatbot with natural-language query (2025)
Agent mcp integration: Partial: Black Duck Assist IDE assistant scans AI-generated code; Signal AI Code Analysis runs six agents (code-focused, not SCA) with results uploaded to Polaris as SARIF under an 'AI' tool type (Sept 2026); MCP server not confirmed (unverified)
Ai model or ai library dependency detection: Yes: AI Model Risk Insights (GA Nov 2025)
Model used or byo llm: BYO LLM for Signal AI Code Analysis: each agent can use a different provider/model/endpoint across OpenAI, Azure OpenAI, AWS Bedrock, GCP Vertex AI or compatible proxies, run on customer-controlled infrastructure (Polaris, Sept 2026); models behind Polaris chatbot/Assist not publicly disclosed</t>
  </si>
  <si>
    <t xml:space="preserve">https://www.nasdaq.com/press-release/black-duck-sca-introduces-ai-model-risk-scanning-enhanced-software-security-insights</t>
  </si>
  <si>
    <t xml:space="preserve">Ai triage reachability prioritisation: No (removes CVEs at source instead)
Ai auto remediation upgrade prs: Partial: automated rebuild/patch pipeline (not LLM)
Malicious package detection ml llm: Partial: source-rebuild eliminates registry-tampered artifacts
Natural language query: No
Agent mcp integration: No
Ai model or ai library dependency detection: Partial: Chainguard AI images for ML frameworks
Model used or byo llm: n/a</t>
  </si>
  <si>
    <t xml:space="preserve">https://www.chainguard.dev/unchained/chainguard-is-named-a-leader-in-the-2026-gartner-magic-quadrant-for-software-supply-chain-security</t>
  </si>
  <si>
    <t xml:space="preserve">Ai triage reachability prioritisation: Yes: Exploitable Path reachability plus AI risk scoring in Checkmarx One
Ai auto remediation upgrade prs: Yes: Developer Assist AI fixes and Safe Refactor dependency upgrades (GA per product page)
Malicious package detection ml llm: Yes: Supply Chain Threat Intelligence feed of malicious packages; ML methods not disclosed
Natural language query: Yes: AI Security Champion / Checkmarx One AI assistant (marketing)
Agent mcp integration: Yes: Checkmarx MCP for IDEs, CLIs and AI assistants; Developer Assist supports AI coding-agent workflows; Checkmarx Fusion, Triage Assist and Remediation Assist (Claude-powered) purchasable through the Claude Marketplace with Anthropic committed spend, US customers (Oct 2026); engine coverage for SCA not stated (vendor claim)
Ai model or ai library dependency detection: Partial: AI-generated code detection; AI model dependency detection not confirmed (unverified)
Model used or byo llm: not publicly disclosed</t>
  </si>
  <si>
    <t xml:space="preserve">https://checkmarx.com/checkmarx-one-developer-assist/</t>
  </si>
  <si>
    <t xml:space="preserve">Ai triage reachability prioritisation: Yes: AI exploitability analysis beyond reachability, batch mode across violations
Ai auto remediation upgrade prs: Yes: AI fix suggestions and PRs
Malicious package detection ml llm: Partial: detection present, plus Workstation Protection blocks known-malicious packages at install time using threat-intel feeds and cooldown policies (early access Sept 2026); ML method not disclosed
Natural language query: Yes: AI assistant on risk graph
Agent mcp integration: Yes: MCP and agent governance (ADSP positioning)
Ai model or ai library dependency detection: Partial: AI coding tool visibility
Model used or byo llm: 'frontier AI systems' per vendor; specific models not disclosed</t>
  </si>
  <si>
    <t xml:space="preserve">https://cycode.com/blog/bulk-ai-exploitability-analysis/</t>
  </si>
  <si>
    <t xml:space="preserve">Ai triage reachability prioritisation: No
Ai auto remediation upgrade prs: Yes: AI agents research and remediate vulnerabilities in rebuilt images
Malicious package detection ml llm: No
Natural language query: No
Agent mcp integration: No
Ai model or ai library dependency detection: No
Model used or byo llm: not publicly disclosed</t>
  </si>
  <si>
    <t xml:space="preserve">https://siliconangle.com/2026/08/27/vulnerability-free-container-image-startup-echo-acquires-minimus/</t>
  </si>
  <si>
    <t xml:space="preserve">Ai triage reachability prioritisation: Yes: reachability plus EPSS/KEV prioritisation; AI SAST
Ai auto remediation upgrade prs: Yes: AURI agents fix vulnerabilities and secrets; upgrade impact analysis and Endor Patches
Malicious package detection ml llm: Yes: Package Firewall 150+ signals incl. malware, typosquats
Natural language query: Yes: Endor Labs natural-language querying (DroidGPT-era feature)
Agent mcp integration: Yes: MCP server, AURI harness for Claude Code, Cursor and other agents; governs MCP servers and skills
Ai model or ai library dependency detection: Yes: AI model governance and detection of AI libraries/models
Model used or byo llm: not publicly disclosed; BYO-LLM not confirmed</t>
  </si>
  <si>
    <t xml:space="preserve">https://www.endorlabs.com/learn/endor-labs-is-a-visionary-in-the-2026-gartner-r-magic-quadrant-tm-for-software-supply-chain-security</t>
  </si>
  <si>
    <t xml:space="preserve">Ai triage reachability prioritisation: Partial: prioritisation by severity/EPSS; no function-level reachability
Ai auto remediation upgrade prs: No
Malicious package detection ml llm: No (not marketed)
Natural language query: Not publicly confirmed
Agent mcp integration: Not publicly confirmed
Ai model or ai library dependency detection: Partial: snippet scanning for AI-generated code provenance; AI-BOM not confirmed
Model used or byo llm: not publicly disclosed</t>
  </si>
  <si>
    <t xml:space="preserve">https://fossa.com/pricing/</t>
  </si>
  <si>
    <t xml:space="preserve">Ai triage reachability prioritisation: Partial: Dependabot auto-triage rules and EPSS in alerts; no reachability
Ai auto remediation upgrade prs: Partial: Dependabot PRs are deterministic; Copilot Autofix targets code scanning; Copilot coding agent can be assigned dependency issues
Malicious package detection ml llm: No: relies on advisory DB and npm/GitHub registry-side malware takedowns
Natural language query: Yes: Copilot Chat over security alerts
Agent mcp integration: Yes: GitHub MCP server exposes Dependabot alerts to agents; license compliance API lets coding agents check whether a package complies with the enterprise license policy before recommending it (GA Oct 2026)
Ai model or ai library dependency detection: No
Model used or byo llm: OpenAI/Anthropic models via Copilot</t>
  </si>
  <si>
    <t xml:space="preserve">https://github.com/resources/insights/evolving-github-advanced-security</t>
  </si>
  <si>
    <t xml:space="preserve">Ai triage reachability prioritisation: Yes: Intelligent Finding Analytics (ML false-positive reduction) and RapidFix agentic triage; AI SAST business-logic flaw detection in scan configuration (Sept 2026); no function-level SCA reachability documented (unverified)
Ai auto remediation upgrade prs: Yes: RapidFix trusted fix recommendations, primarily SAST, now with organization and asset-group level administrative controls (Sept 2026); SCA upgrade recommendations not confirmed as agentic
Malicious package detection ml llm: Not publicly confirmed
Natural language query: Yes: MCP server enables natural-language interaction with AppScan data
Agent mcp integration: Yes: AppScan MCP server (announced 2025-2026, GA status not stated)
Ai model or ai library dependency detection: No
Model used or byo llm: not publicly disclosed</t>
  </si>
  <si>
    <t xml:space="preserve">https://www.hcl-software.com/appscan</t>
  </si>
  <si>
    <t xml:space="preserve">Ai triage reachability prioritisation: Yes: Contextual Analysis exploitability; AI-assisted prioritisation
Ai auto remediation upgrade prs: Partial: fix version recommendations; IDE remediation; not fully agentic PRs
Malicious package detection ml llm: Yes: JFrog Security Research plus semantic scanning of AI assets (skills, markdown, instruction sets) to block malicious behaviours
Natural language query: Partial: not publicly confirmed
Agent mcp integration: Yes: JFrog MCP server; Agent Guard enforces AI Catalog allow/deny in Claude Code, Cursor, VS Code (GA 2 Sept 2026)
Ai model or ai library dependency detection: Yes: AI Catalog governs models, MCP servers, agent skills; Hugging Face model scanning
Model used or byo llm: not publicly disclosed</t>
  </si>
  <si>
    <t xml:space="preserve">https://jfrog.com/press-room/jfrog-embeds-security-into-the-agentic-workforce/</t>
  </si>
  <si>
    <t xml:space="preserve">Ai triage reachability prioritisation: Yes: core product; AI reproduction pipeline deploys affected versions in isolation and attempts exploits to return evidence-backed verdicts (bug bounty path shipped, SCA/SAST paths early access Sept 2026, vendor claim)
Ai auto remediation upgrade prs: Partial
Malicious package detection ml llm: No
Natural language query: Partial
Agent mcp integration: Partial
Ai model or ai library dependency detection: No
Model used or byo llm: not publicly disclosed; vendor blog says tiers use different capable models with overridable model assignment</t>
  </si>
  <si>
    <t xml:space="preserve">https://konvu.com/blog/from-vulnerability-finding-to-exploit-proof</t>
  </si>
  <si>
    <t xml:space="preserve">Ai triage reachability prioritisation: Yes: agentic prioritisation
Ai auto remediation upgrade prs: Yes: autonomous fix agents (vendor claim)
Malicious package detection ml llm: Partial: tamper/integrity checks
Natural language query: Yes (marketing)
Agent mcp integration: Yes: UnifAI governs agentic apps
Ai model or ai library dependency detection: Yes: AIBOM management
Model used or byo llm: not publicly disclosed</t>
  </si>
  <si>
    <t xml:space="preserve">https://www.aol.com/articles/lineaje-recognized-visionary-2026-gartner-154300000.html</t>
  </si>
  <si>
    <t xml:space="preserve">Ai triage reachability prioritisation: Yes: reachability-based prioritisation in SCA; AI-native platform positioning
Ai auto remediation upgrade prs: Yes: Renovate auto-PRs; Least Vulnerable Package strategy with major/minor paths (Jan 2026); AI fix for SAST
Malicious package detection ml llm: Yes: malicious package detection across OSS and container images; ML details not disclosed
Natural language query: Not publicly confirmed
Agent mcp integration: Yes: MCP server exposes SAST/SCA findings to agents (GA June 2025); Mend Agentic Integration for Cursor, Claude Code and other AI-native IDEs (GA Oct 2025); MCP fetches assistant-specific rules (June 2026)
Ai model or ai library dependency detection: Yes: Mend AI (AI component inventory and AI-BOM) GA Mar 2025; System Prompt Hardening launched Mar 2026
Model used or byo llm: not publicly disclosed</t>
  </si>
  <si>
    <t xml:space="preserve">https://docs.mend.io/platform/latest/mend-platform-release-notes</t>
  </si>
  <si>
    <t xml:space="preserve">Ai triage reachability prioritisation: Partial: ML-based matching and health scores; no function-level reachability confirmed
Ai auto remediation upgrade prs: Yes: automated fix PRs (Debricked); Fortify Remediation Aviator auto-generates validated fixes but is SAST-first, SCA coverage listed only as an applicable product
Malicious package detection ml llm: Not publicly confirmed
Natural language query: Partial: Aviator contextual explanations; Open Source Select Aviator suggests catalog-compatible alternatives
Agent mcp integration: Not confirmed (no MCP server found on vendor pages)
Ai model or ai library dependency detection: No
Model used or byo llm: OpenText Aviator; underlying LLM not disclosed</t>
  </si>
  <si>
    <t xml:space="preserve">https://www.merito.com/vendors/opentext/core-open-source-select</t>
  </si>
  <si>
    <t xml:space="preserve">Ai triage reachability prioritisation: Partial
Ai auto remediation upgrade prs: No
Malicious package detection ml llm: Yes: Phylum ML and heuristic engine for package malware and slopsquatting
Natural language query: No
Agent mcp integration: Not publicly confirmed
Ai model or ai library dependency detection: No
Model used or byo llm: not publicly disclosed</t>
  </si>
  <si>
    <t xml:space="preserve">https://www.veracode.com/blog/introducing-veracode-package-firewall/</t>
  </si>
  <si>
    <t xml:space="preserve">Ai triage reachability prioritisation: Partial: AI-powered vulnerability analysis (Premium+)
Ai auto remediation upgrade prs: Partial: remediation assistance
Malicious package detection ml llm: Not publicly confirmed
Natural language query: No
Agent mcp integration: Not confirmed
Ai model or ai library dependency detection: No
Model used or byo llm: not publicly disclosed</t>
  </si>
  <si>
    <t xml:space="preserve">https://scantist.com/pricing</t>
  </si>
  <si>
    <t xml:space="preserve">Ai triage reachability prioritisation: Yes: Semgrep Assistant auto-triage (vendor claims ~60% of triage handled, 95% agreement) plus reachability
Ai auto remediation upgrade prs: Yes: Assistant remediation suggestions; PR comments; not autonomous upgrade PRs
Malicious package detection ml llm: Yes: Malware Detection GA Sept 2026 using AI-assisted, expert-verified incident rules with automated rescans (vendor claim); Malware Firewall in Semgrep Guardian blocks installs (private beta); ML/LLM detection method not disclosed
Natural language query: Partial: Assistant chat
Agent mcp integration: Yes: Semgrep MCP server (open source)
Ai model or ai library dependency detection: No
Model used or byo llm: OpenAI and Anthropic models via Assistant; BYO not standard</t>
  </si>
  <si>
    <t xml:space="preserve">https://semgrep.dev/docs/release-notes/march-2026</t>
  </si>
  <si>
    <t xml:space="preserve">Ai triage reachability prioritisation: Yes: priority score blends reachability, exploit maturity, EPSS; Evo/AI-SPM agentic triage surfaces (GA July 2025)
Ai auto remediation upgrade prs: Yes: Snyk Agent Fix (formerly DeepCode AI Fix) for code; fix PRs / upgrade PRs for open source
Malicious package detection ml llm: Partial: package health checks (snyk_package_health_check GA May 2025); malicious package detection not a headline capability
Natural language query: Yes: Evo Chat (platform)
Agent mcp integration: Yes: Snyk Studio (formerly Snyk MCP Server, rebranded Oct 2025) quickstarts for Cursor, Windsurf, Claude Code, Devin, Continue, JetBrains AI; snyk/agent-scan for MCP servers and agent skills; experimental 'snyk studio' CLI command auto-configures Snyk Studio in AI coding tools (CLI v1.1307.4, Sept 2026); Evo MCP server (https://evo.snyk.io/mcp) lets Claude, Cursor and other MCP clients query the Evo AI asset inventory, policies and violations (Sept 2026)
Ai model or ai library dependency detection: Yes: snyk aibom generates CycloneDX 1.6 AI-BOM for Python, Java, JS, Go (June 2026)
Model used or byo llm: Proprietary DeepCode models plus hosted LLMs; specifics not publicly disclosed</t>
  </si>
  <si>
    <t xml:space="preserve">https://docs.snyk.io/whats-new</t>
  </si>
  <si>
    <t xml:space="preserve">Ai triage reachability prioritisation: Yes: reachability (60% FP cut on Team; up to 90% on Enterprise)
Ai auto remediation upgrade prs: Partial: PR comments and fix suggestions; not autonomous PRs
Malicious package detection ml llm: Yes: LLM-assisted analysis of package source for malicious behaviour (Socket AI Scanner, publicly documented since 2023)
Natural language query: Partial: not publicly confirmed
Agent mcp integration: Yes: MCP server scanning and Firewall coverage for AI tools and MCP servers
Ai model or ai library dependency detection: Yes: AI model scanning (Business+) and AI tool/extension inventory
Model used or byo llm: OpenAI GPT-class and other hosted LLMs per Socket blog; BYO not offered</t>
  </si>
  <si>
    <t xml:space="preserve">https://socket.dev/pricing</t>
  </si>
  <si>
    <t xml:space="preserve">Ai triage reachability prioritisation: Partial: enriched proprietary intel (claims 70% more vulns and 10x faster than NVD); reachability is call-flow analysis for Java only (verify scope)
Ai auto remediation upgrade prs: Partial: upgrade recommendations and 'golden versions'; automated PRs via SCM integration; not LLM-agentic
Malicious package detection ml llm: Yes: ML-driven behavioural analysis in Repository Firewall; 'Sonatype AI' malware detection claims (marketing term, methods not disclosed)
Natural language query: Not publicly confirmed
Agent mcp integration: Yes: Sonatype Guide MCP server delivers safe package versions to Copilot, Claude, Codex and other assistants (GA 20 Mar 2026); Nexus One MCP server for agentic dependency management (Nov 2025)
Ai model or ai library dependency detection: Yes: AI Visibility and Governance for AI/ML models incl. Hugging Face proxying via Nexus Repository
Model used or byo llm: not publicly disclosed</t>
  </si>
  <si>
    <t xml:space="preserve">https://www.infoq.com/news/2026/03/sonatype-guide-safety-mcp-server</t>
  </si>
  <si>
    <t xml:space="preserve">Ai triage reachability prioritisation: Yes: Risk Manager AI-assisted prioritisation with reachability and exploit intel
Ai auto remediation upgrade prs: Partial: Veracode Fix (LLM-assisted) is documented for SAST findings; Veracode CLI exposes a 'veracode fix sca' command for SCA remediation (JavaScript performance improvements in CLI v2.52.1, Sept 2026), but whether SCA fixes are LLM-generated versus deterministic upgrade guidance with intelligent policies (Jan 2026) is not stated on vendor pages (unverified)
Malicious package detection ml llm: Yes: Phylum heuristics and ML analyse package behaviour, author reputation and code for malware, typosquats and hallucinated packages
Natural language query: Not publicly confirmed
Agent mcp integration: Partial: IDE plugins; MCP server not confirmed as of Sept 2026 (unverified)
Ai model or ai library dependency detection: Partial: 2026 GenAI code security research; AI-BOM feature not confirmed
Model used or byo llm: not publicly disclosed</t>
  </si>
  <si>
    <t xml:space="preserve">https://www.veracode.com/products/veracode-package-firewall/</t>
  </si>
  <si>
    <t xml:space="preserve">Ai triage reachability prioritisation: Yes: reachability and context scoring
Ai auto remediation upgrade prs: Yes: AI autofix and smart dependency upgrades
Malicious package detection ml llm: Yes: real-time malicious package detection (method not disclosed)
Natural language query: No
Agent mcp integration: Not confirmed
Ai model or ai library dependency detection: Partial: AI supply chain positioning
Model used or byo llm: not publicly disclosed</t>
  </si>
  <si>
    <t xml:space="preserve">https://www.capterra.co.uk/software/1043740/xygeni</t>
  </si>
  <si>
    <t xml:space="preserve">Ai triage reachability prioritisation: Yes: GitLab Duo Security Agent triages vulnerabilities, false-positive detection in security configuration profiles; Vulnerability Context Flow adds auth/authz/sensitive-data triage context (19.4, Sept 2026)
Ai auto remediation upgrade prs: Yes: Duo Vulnerability Resolution MRs; dependency scanning auto-remediation fixes build breaks from version bumps (2026 blog)
Malicious package detection ml llm: Partial: advisory-based malware detection against GitLab malware advisories (typosquats, compromised accounts, embedded malware) across npm, PyPI, Maven, Go, NuGet, Cargo, RubyGems; Beta in 19.4 (Sept 2026), not ML
Natural language query: Yes: Duo Chat
Agent mcp integration: Yes: GitLab MCP server generally available in 19.5 (Oct 2026) for all tiers with 60 (Free) / 600 (Premium, Ultimate) requests per minute limits; exposes vulnerability tools to agents incl. vulnerability list/detail tools plus five write operations (dismiss, confirm, revert, override severity, create linked issue) added in 19.4 (Sept 2026); GitLab 19.0 agentic DevOps
Ai model or ai library dependency detection: No
Model used or byo llm: Anthropic Claude and Google models via GitLab Duo; self-hosted Duo supports BYO models</t>
  </si>
  <si>
    <t xml:space="preserve">https://about.gitlab.com/direction/supply-chain/</t>
  </si>
  <si>
    <t xml:space="preserve">Ai triage reachability prioritisation: Partial: experimental call analysis (Go, Rust)
Ai auto remediation upgrade prs: Partial: deterministic guided remediation (not AI)
Malicious package detection ml llm: No
Natural language query: No
Agent mcp integration: No official MCP
Ai model or ai library dependency detection: No
Model used or byo llm: n/a</t>
  </si>
  <si>
    <t xml:space="preserve">https://blog.google/security/announcing-osv-scanner-v2-vulnerability/</t>
  </si>
  <si>
    <t xml:space="preserve">Ai triage reachability prioritisation: No
Ai auto remediation upgrade prs: No
Malicious package detection ml llm: No
Natural language query: No
Agent mcp integration: No
Ai model or ai library dependency detection: No
Model used or byo llm: not publicly disclosed</t>
  </si>
  <si>
    <t xml:space="preserve">https://github.com/anchore/grype/releases</t>
  </si>
  <si>
    <t xml:space="preserve">Ai triage reachability prioritisation: Yes: AI reasoning over dependency changes in PRs
Ai auto remediation upgrade prs: Partial: inline remediation guidance
Malicious package detection ml llm: Partial: risk signals in PR
Natural language query: Not confirmed
Agent mcp integration: Not confirmed
Ai model or ai library dependency detection: No
Model used or byo llm: not publicly disclosed</t>
  </si>
  <si>
    <t xml:space="preserve">https://www.businesswire.com/news/home/20250617157201/en/Introducing-Kusari-Inspector-Empowering-Developers-with-Real-Time-Software-Security-Insights-in-Every-Pull-Request</t>
  </si>
  <si>
    <t xml:space="preserve">https://github.com/dependency-check/DependencyCheck</t>
  </si>
  <si>
    <t xml:space="preserve">https://dependencytrack.org/news/dependency-track-5-0/</t>
  </si>
  <si>
    <t xml:space="preserve">Ai triage reachability prioritisation: Partial
Ai auto remediation upgrade prs: No
Malicious package detection ml llm: Yes: real-time malicious package analysis (ML/LLM specifics not disclosed)
Natural language query: No
Agent mcp integration: Yes: MCP server and Agent API
Ai model or ai library dependency detection: Partial: AI agent inventory
Model used or byo llm: not publicly disclosed</t>
  </si>
  <si>
    <t xml:space="preserve">https://safedep.io/</t>
  </si>
  <si>
    <t xml:space="preserve">Ai triage reachability prioritisation: No reachability; VEX-based suppression
Ai auto remediation upgrade prs: No
Malicious package detection ml llm: No
Natural language query: No
Agent mcp integration: Yes: aquasecurity/trivy-mcp plugin exposes scans to MCP clients
Ai model or ai library dependency detection: No
Model used or byo llm: n/a</t>
  </si>
  <si>
    <t xml:space="preserve">https://github.com/aquasecurity/trivy-mcp</t>
  </si>
  <si>
    <t xml:space="preserve">- ML/LLM generic detection: Betterleaks token-efficiency method (per creator's role; Aikido docs not verified in this sweep)
- AI FP reduction: AI-based triage/noise reduction platform-wide
- AI remediation: AutoFix for SAST/IaC, not secrets rotation
- NHI discovery: none
- MCP/agent integration: Aikido MCP server / IDE agent integrations (platform)
- model used: Altar-1 open-weight model (pruned GLM-5.3, Sept 2026) for on-prem Aikido Machine pentesting; models behind secrets triage and AutoFix not disclosed</t>
  </si>
  <si>
    <t xml:space="preserve">- ML/LLM generic detection: not documented
- AI FP reduction: validation-based
- AI remediation: agentic remediation platform (2026 'Agentic Code Security' award)
- NHI discovery: developer/identity risk in SCM only
- MCP/agent integration: not verified
- model used: not disclosed</t>
  </si>
  <si>
    <t xml:space="preserve">https://awards.thehackernews.com/winners/2026/arnica-agentic-code-security/</t>
  </si>
  <si>
    <t xml:space="preserve">- ML/LLM generic secret detection: Signal performs multi-LLM code analysis and lists a 'sensitive data' task agent, but a secrets-specific detector or benchmark is not publicly documented; Polaris/Coverity secrets checkers are pattern and dataflow based
- AI FP reduction: Polaris AI-assisted triage and ContextAI-grounded remediation guidance for SAST findings (July 2026); secrets-specific FP figures not published
- AI remediation: Signal agents propose fixes via Copilot, Cursor, Claude Code and Windsurf; Polaris automated fix PRs are for SCA dependencies, not secrets
- NHI / agent token discovery: none
- MCP/agent integration: Polaris Issue Management MCP Server and Signal MCP services; BYO LLM (OpenAI, Azure, Bedrock, Vertex) for Signal agents, results uploaded to Polaris as SARIF 'AI tool type'
- model used: multiple LLMs, not individually named</t>
  </si>
  <si>
    <t xml:space="preserve">https://www.blackduck.com/blog/polaris-ai-security-updates-april-2026.html</t>
  </si>
  <si>
    <t xml:space="preserve">- ML/LLM generic detection: none documented for secrets
- AI FP reduction: Checkmarx Assist / AI triage agents platform-wide, not secrets-specific
- AI remediation: Checkmarx Assist developer and remediation agents
- NHI discovery: none
- MCP/agent integration: Checkmarx Developer Assist and MCP-based IDE agents (platform)
- model used: not disclosed</t>
  </si>
  <si>
    <t xml:space="preserve">https://checkmarx.com/product/secrets-detection/</t>
  </si>
  <si>
    <t xml:space="preserve">- ML generic detection: not documented
- AI FP reduction: not documented
- AI remediation: automated rotation workflows
- NHI discovery: core
- MCP/agent integration: not verified
- model used: n/a</t>
  </si>
  <si>
    <t xml:space="preserve">https://www.cremit.io/product</t>
  </si>
  <si>
    <t xml:space="preserve">- ML/LLM generic detection: yes, ML entropy/structure/context model for unknown formats
- AI FP reduction: yes, Classifier Agent triages generic detections, ~70% noise reduction claimed
- AI remediation: CycodeAI fix suggestions platform-wide
- NHI/agent token discovery: NHI module inventories machine identities across code and cloud; Workstation Protection (early access, Sept 2026) inventories coding assistants and MCP servers on developer endpoints
- MCP/agent integration: Cycode MCP/agentic AppSec platform (Agentic Code Scanning, Sept 2026); endpoint blocking of secrets in agent prompts and file reads (early access)
- model used: 'high-capacity' LLM, not named</t>
  </si>
  <si>
    <t xml:space="preserve">https://www.globenewswire.com/news-release/2026/09/23/3367485/0/en/cycode-extends-its-adlc-security-capabilities-to-developers-workstations-stopping-software-supply-chain-attacks-before-they-start.html</t>
  </si>
  <si>
    <t xml:space="preserve">- ML/LLM generic detection: not documented
- AI FP reduction: behavioral anomaly models (NHIDR)
- AI remediation: guided remediation and workflows
- NHI/agent token discovery: core product, 1,000+ NHI and agent types
- MCP/agent integration: AI agent discovery and monitoring; MCP-specific control not verified
- model used: not disclosed</t>
  </si>
  <si>
    <t xml:space="preserve">https://www.sailpoint.com/press-releases/sailpoint-announces-intent-to-acquire-entro-security</t>
  </si>
  <si>
    <t xml:space="preserve">- ML generic secret detection: yes, ML-assisted generic detectors on top of regex (documented 'Machine learning' engine section)
- AI FP reduction / risk scoring: yes, 'AI risk scoring and false-positive filtering' on Growth tier
- AI remediation: 'AI Copilot for remediation' on Enterprise tier
- NHI / agent token discovery: yes, NHI Governance plus Sept 2026 AI Agents and MCP Inventory; Oct 2026 ggscout checks validity and permissions of vaulted secrets inside the customer network and infers secret environments
- MCP/agent integration: ggshield AI hooks for Claude Code, Cursor, Copilot CLI, VS Code, Codex, Mistral Vibe, Amazon Kiro, Junie CLI (Sept 25 2026: secret-bearing tool output withheld from the model on Claude Code, Codex, Mistral Vibe); 'ggshield ai discover --history' parses MCP tool calls; behavioral monitoring of agents in private beta
- model used: not publicly disclosed</t>
  </si>
  <si>
    <t xml:space="preserve">https://docs.gitguardian.com/releases/saas/2026/09/07/changelog</t>
  </si>
  <si>
    <t xml:space="preserve">- ML/LLM generic detection: yes, purpose-built fine-tuned secret-detection model (Oct 2026) reads surrounding code to flag likely credentials including passwords with no recognisable format, without generating code or prose; supersedes the earlier general-LLM Copilot secret scanning approach and existing AI-detected Password alerts were upgraded automatically; alerts kept in a separate AI-detected list
- AI FP reduction: the dedicated classifier is positioned as finding more secrets with less noise (per vendor; no precision figure published in the changelog); validity checks are API-based not AI
- AI remediation guidance: Copilot Autofix / agentic autofix (preview, uses Copilot Memory, Sept 2026) targets code scanning; secrets coverage not stated
- AI push protection: private preview for GHEC and Team customers with GHSP or GHAS, opt-in, consumes AI Credits (Oct 2026); AI-detected alerts public preview on GHES 3.23
- NHI/agent token discovery: enterprise credential inventory export (GHEC, Sept 2026); detects tokens of AI providers (Anthropic keys blocked by default Oct 2026, OpenRouter, Pydantic AI Gateway)
- MCP/agent integration: secret scanning tools in GitHub MCP Server for Copilot CLI and VS Code Copilot Chat (public preview Mar 2026, GA May 2026)
- model used: purpose-built fine-tuned model, name not disclosed</t>
  </si>
  <si>
    <t xml:space="preserve">https://github.blog/changelog/2026-10-07-purpose-built-model-for-leaked-secret-detection/</t>
  </si>
  <si>
    <t xml:space="preserve">- ML/LLM generic secret detection: none documented (pattern-based provider signatures)
- AI FP reduction: RapidFix agentic triage for SAST findings; secrets-specific coverage not publicly confirmed
- AI remediation: RapidFix generates validated code fixes for SAST findings via Git workflow; whether hardcoded-secret findings are auto-fixed is not publicly disclosed; org and asset-group admin controls for RapidFix and AI SAST (Sept 2026)
- AI SAST: business-logic flaw detection option in SAST scan configuration (ASoC, Sept 2026)
- NHI / agent token discovery: none
- MCP/agent integration: AppScan MCP Server (on-prem) for querying findings from Cursor, Copilot and other AI IDEs; Cursor AI integration
- model used: not publicly disclosed (RapidFix leverages Pixee)</t>
  </si>
  <si>
    <t xml:space="preserve">https://www.hcl-software.com/blog/appscan/hcl-appscan-360-v2.1-ai-application-security-with-faster-testing-and-automated-fixes</t>
  </si>
  <si>
    <t xml:space="preserve">- ML/LLM generic detection: none documented
- AI FP reduction: tuning rules, not AI
- AI remediation: none
- NHI discovery: Vault-side identity, not agent inventory
- MCP/agent integration: HashiCorp Vault MCP server exists for agents (secrets access, not detection)
- model used: n/a</t>
  </si>
  <si>
    <t xml:space="preserve">https://www.hashicorp.com/en/blog/hcp-vault-radar-agent-local-secret-scanning-at-enterprise-scale</t>
  </si>
  <si>
    <t xml:space="preserve">- ML generic detection: none
- AI FP reduction: AI agents for triage (platform)
- AI remediation: pre-built fix agents
- NHI discovery: none
- MCP/agent integration: not verified
- model used: not disclosed</t>
  </si>
  <si>
    <t xml:space="preserve">https://www.jit.io/resources/jit-security/introducing-jits-agentic-appsec-platform-that-gets-real-work-done</t>
  </si>
  <si>
    <t xml:space="preserve">- ML/LLM generic detection: not documented
- AI FP reduction: AI agents for prioritisation
- AI remediation: yes, AI-suggested fixes and ticket creation
- NHI discovery: limited (SDLC identities/permissions)
- MCP/agent integration: first-party MCP server, VibeGuard for Cursor/Copilot
- model used: not disclosed</t>
  </si>
  <si>
    <t xml:space="preserve">https://www.legitsecurity.com/</t>
  </si>
  <si>
    <t xml:space="preserve">- ML/LLM generic detection: yes, LLM-powered detectors claiming 95% precision
- AI FP reduction: model-based confidence plus key validation
- AI remediation: automated redaction/quarantine
- NHI/agent token discovery: MCP server and agent usage inventory (not credential lifecycle)
- MCP/agent integration: first-party MCP security product, prompt DLP for ChatGPT/Claude
- model used: proprietary, not disclosed</t>
  </si>
  <si>
    <t xml:space="preserve">https://www.nightfall.ai/products/mcp-security</t>
  </si>
  <si>
    <t xml:space="preserve">- ML/LLM generic secret detection: none (rule and dataflow based)
- AI FP reduction: Remediation Aviator LLM audit of SAST findings including Password Management category, hosted by OpenText, model costs included; secrets-specific accuracy figures not published
- AI remediation: Remediation Aviator suggests and optionally auto-applies fixes; SAST-DAST correlation new in 26.3
- NHI / agent token discovery: none
- MCP/agent integration: fcli MCP server (Oct 2025) for FoD and SSC; Fortify VS Code extension 26.x with AI-assistant features; rulepacks detect MCP SDK misuse in customer code
- model used: not publicly disclosed; source code not used for training</t>
  </si>
  <si>
    <t xml:space="preserve">- ML/LLM generic detection: none; semantic rules not ML
- AI FP reduction: Semgrep Assistant triages findings with AI credits (platform-wide)
- AI remediation: Assistant autofix suggestions
- NHI discovery: none
- MCP/agent integration: Semgrep MCP server for AI coding agents
- model used: not disclosed (Assistant uses third-party LLMs)</t>
  </si>
  <si>
    <t xml:space="preserve">https://semgrep.dev/pricing/</t>
  </si>
  <si>
    <t xml:space="preserve">- ML/LLM generic detection: yes, contextual ML classifies candidates using file path, variable names, comments, neighbouring tokens
- AI FP reduction: yes, ML scoring is the FP mechanism
- AI remediation: Snyk Agent Fix for code; secrets-specific guidance not documented
- NHI discovery: none
- MCP/agent integration: Snyk MCP server / Snyk Studio exists for AI coding agents (general, not secrets-specific); experimental 'snyk agent-scan' CLI command reports risk indicators for AI agent projects (Oct 2026, not secrets-specific)
- model used: proprietary, not disclosed</t>
  </si>
  <si>
    <t xml:space="preserve">https://snyk.io/blog/snyk-secrets/</t>
  </si>
  <si>
    <t xml:space="preserve">None documented</t>
  </si>
  <si>
    <t xml:space="preserve">https://appsecsanta.com/spectralops</t>
  </si>
  <si>
    <t xml:space="preserve">- ML/LLM generic secret detection: none documented (regex and keyword rules in CLI; SAST pattern matching for hardcoded credentials)
- AI FP reduction: none secrets-specific; SAST CWE-798 FP reduction is rule-based
- AI remediation: Veracode Fix generates AI code patches for SAST flaws, but coverage of CWE-798/259 is not publicly confirmed
- NHI / agent token discovery: none
- MCP/agent integration: no official Veracode MCP server found; only community MCP servers wrapping the Veracode CLI and Veracode Fix (unverified)
- model used: not publicly disclosed</t>
  </si>
  <si>
    <t xml:space="preserve">https://docs.veracode.com/updates/r/c_all_static</t>
  </si>
  <si>
    <t xml:space="preserve">- ML/LLM generic detection: uses BPE tokenizer statistics (LLM-tokeniser-derived, not a model inference) for generic secrets
- AI FP reduction: token-efficiency scoring reduces entropy false positives
- AI remediation: none
- NHI discovery: none
- MCP integration: none
- model used: BPE tokenizer vocabulary</t>
  </si>
  <si>
    <t xml:space="preserve">https://www.helpnetsecurity.com/2026/03/19/betterleaks-open-source-secrets-scanner/</t>
  </si>
  <si>
    <t xml:space="preserve">None across all dimensions</t>
  </si>
  <si>
    <t xml:space="preserve">https://github.com/Yelp/detect-secrets</t>
  </si>
  <si>
    <t xml:space="preserve">- ML generic detection: inherits GitGuardian engine
- AI FP reduction: via platform
- AI remediation guidance: hook returns remediation guidance to developer
- NHI/agent token discovery: 'ggshield ai discover'
- MCP/agent integration: hooks for Claude Code, Cursor, Copilot CLI, VS Code, Codex, Mistral Vibe, Amazon Kiro, Junie CLI (v1.55.0 withholds secret-bearing tool output from Claude Code and Codex)
- model used: n/a (client)</t>
  </si>
  <si>
    <t xml:space="preserve">- ML/LLM generic detection: none documented; regex/entropy ruleset
- AI FP reduction: yes, GitLab Duo false-positive detection with confidence scoring for secret detection findings, extended to tracked non-default branches in 19.5
- AI remediation: Duo vulnerability resolution targets SAST; secrets remediation not documented
- NHI/agent token discovery: none
- MCP/agent integration: Duo Agent Platform GA (18.8, Jan 2026) can act on findings; GitLab MCP server GA in 19.5 with admin toolset selection; Externally Connected Agents such as Claude Code and Cursor join AI Governance audit events in beta (19.5); no secret-specific agent hooks verified
- model used: GitLab Duo (vendor-hosted models, self-hosted model option for Duo)</t>
  </si>
  <si>
    <t xml:space="preserve">https://docs.gitlab.com/user/application_security/secret_detection/</t>
  </si>
  <si>
    <t xml:space="preserve">- ML/LLM generic detection: none
- AI FP reduction: none
- AI remediation: none
- NHI discovery: none
- MCP/agent integration: community wrappers only
- model used: n/a</t>
  </si>
  <si>
    <t xml:space="preserve">https://github.com/gitleaks/gitleaks</t>
  </si>
  <si>
    <t xml:space="preserve">- ML/LLM generic detection: none documented; detector-and-verify model, regex plus API verification
- AI FP reduction: verification-based, not AI
- AI remediation guidance: none documented
- NHI/agent token discovery: detects AI-provider keys (OpenAI, Hugging Face, Anthropic detectors) and positions as NHI; no agent inventory
- MCP/agent integration: community MCP wrappers exist; no first-party MCP server verified
- model used: n/a</t>
  </si>
  <si>
    <t xml:space="preserve">https://trufflesecurity.com/docs/2026-september</t>
  </si>
  <si>
    <t xml:space="preserve">- AI BOM: agent and add-on inventory (formal BOM export unverified)
- Model file scanning: no
- AI license/provenance: vetting of add-ons
- AI-assisted: yes
- NL query: unverified
- MCP/agent: core</t>
  </si>
  <si>
    <t xml:space="preserve">- AI BOM / ML-BOM generation: partial (AI model artefact detection inside SBOMs, v6.2)
- AI model file scanning: no (detection only)
- AI license/provenance: unverified
- AI-assisted enrichment/VEX: no
- Natural-language query: via Anchore Enterprise MCP server (2026) exposing scan and SBOM data to AI assistants
- MCP/agent integration: GA MCP server</t>
  </si>
  <si>
    <t xml:space="preserve">https://anchore.com/blog/extending-supply-chain-security-to-ai-models-with-anchore-enterprise-v6-2/</t>
  </si>
  <si>
    <t xml:space="preserve">- AI BOM / ML-BOM generation: GA (AI model components inside SBOM output)
- AI model file scanning (pickle malware): no
- AI license/provenance: yes (model licence and origin analysis)
- AI-assisted enrichment/VEX: Black Duck Assist/AI triage features claimed (unverified); Black Duck Signal AI code analysis in Polaris supports bring-your-own-LLM with AI findings managed alongside deterministic results (Sep 2026, code-level not SBOM-level)
- Natural-language query: unverified
- MCP/agent: unverified</t>
  </si>
  <si>
    <t xml:space="preserve">https://www.blackduck.com/software-composition-analysis-tools/black-duck-sca.html</t>
  </si>
  <si>
    <t xml:space="preserve">- AI BOM / ML-BOM generation: yes (AI Inventory / AI-BOM, CycloneDX 1.7 export, GA June 2026 per press release)
- AI model file scanning (pickle/safetensors malware): not publicly disclosed (product page cites model-poisoning indicators and unverified model sources, not file-level malware scanning)
- AI license/provenance analysis: partial (unverified model sources, dataset exposure risks per marketing)
- AI-assisted enrichment/VEX: no VEX; Triage Assist and Remediation Assist agents act on findings, not SBOM
- Natural-language query: via Checkmarx MCP server (SAST, SCA, secrets, IaC exposed; SBOM query via MCP unverified)
- MCP/agent integration: Checkmarx MCP server (platform add-on) for Claude Code, Windsurf, Claude.ai, ChatGPT; Developer Assist IDE agents</t>
  </si>
  <si>
    <t xml:space="preserve">https://vmblog.com/news/checkmarx-delivers-complete-ai-asset-visibility-and-governance-for-the-software-supply-chain-closing-the-shadow-ai-gap/</t>
  </si>
  <si>
    <t xml:space="preserve">- AI BOM / ML-BOM generation: partial (AI asset inventory in AI Defense; open-source 'aibom' CLI at github.com/cisco-ai-defense/aibom scans source code and container images for agents, prompts, models and tools across 10+ frameworks such as LangChain, OpenAI, AWS Bedrock, AutoGen, Anthropic SDK and Google GenAI and builds a dependency graph, announced Feb 2026 as an early-stage tool; CycloneDX/SPDX export unverified)
- AI model file scanning: GA claim (supply chain risk management)
- AI license/provenance: unverified
- AI-assisted: yes
- NL query: unverified
- MCP/agent: agent security features announced 2026 (unverified)</t>
  </si>
  <si>
    <t xml:space="preserve">https://blogs.cisco.com/ai/know-your-ai-stack-introducing-ai-bom-in-cisco-ai-defense</t>
  </si>
  <si>
    <t xml:space="preserve">- AI BOM / ML-BOM generation: partial (AIBOM ingestion and management; generation unverified)
- AI model file scanning: no
- AI license/provenance: unverified
- AI-assisted enrichment/VEX: Raven AI for triage with business context (GA claim)
- NL query: unverified
- MCP/agent: unverified</t>
  </si>
  <si>
    <t xml:space="preserve">https://www.cybeats.com/sbom-studio</t>
  </si>
  <si>
    <t xml:space="preserve">- AI BOM / ML-BOM generation: partial-to-GA (AI component inventory of models, agents, MCP servers, skills; formal CycloneDX ML-BOM export unverified)
- AI model file scanning: no (risk scoring of Hugging Face models, not byte-level malware scan)
- AI license/provenance: yes (model risk metrics incl. licence)
- AI-assisted VEX: yes (reachability-driven VEX)
- NL query: via MCP server
- MCP/agent: GA</t>
  </si>
  <si>
    <t xml:space="preserve">- AI BOM / ML-BOM: no
- AI model file scanning: no
- AI license/provenance: no
- AI-assisted enrichment/VEX: yes (Copilot/AgentOS for triage and compliance evidence, GA claim)
- NL query: Copilot
- MCP/agent: unverified</t>
  </si>
  <si>
    <t xml:space="preserve">https://finitestate.io/platform</t>
  </si>
  <si>
    <t xml:space="preserve">- AI BOM / ML-BOM: not documented on product pages (unverified)
- AI model file scanning: no
- AI license/provenance: licence engine could cover model licences if declared; not marketed
- AI-assisted enrichment: FOSSA AI features for licence and vulnerability triage claimed in 2025 marketing (unverified)
- Natural-language query: unverified
- MCP/agent: unverified</t>
  </si>
  <si>
    <t xml:space="preserve">https://fossa.com/product/sbom-management/</t>
  </si>
  <si>
    <t xml:space="preserve">- AI BOM: no
- Model scanning: no
- AI license: no
- AI-assisted: Copilot agentic autofix for code security and code quality alerts, now using Copilot Memory for context and fix-pattern reuse (Sep 2026; not SBOM)
- NL query: GitHub MCP server (general); package licence compliance-check API intended so coding agents avoid recommending noncompliant packages (Oct 2026)
- MCP/agent: GitHub MCP server GA (not SBOM-specific)</t>
  </si>
  <si>
    <t xml:space="preserve">https://docs.github.com/en/code-security/supply-chain-security/understanding-your-software-supply-chain/exporting-a-software-bill-of-materials-for-your-repository</t>
  </si>
  <si>
    <t xml:space="preserve">- AI BOM / ML-BOM generation: no
- AI model file scanning (pickle/safetensors malware): no (malware scanning covers open-source packages, not model files)
- AI license/provenance analysis: no
- AI-assisted enrichment/VEX: no VEX; RapidFix uses agentic AI for triage and generates validated code fixes via OSS Codemodder framework, documented for SAST; SCA dependency fixes not confirmed
- Natural-language query: via AppScan MCP server (AppScan 360 2.1) for AI development environments; SBOM retrieval via MCP unverified
- MCP/agent integration: AppScan MCP server (360 2.1; ASoC availability unverified); IAST GenAI testing and DAST for LLM apps address AI application risk, not AI BOM</t>
  </si>
  <si>
    <t xml:space="preserve">https://help.hcl-software.com/appscan/360/2.1.0/360_whats_new.html</t>
  </si>
  <si>
    <t xml:space="preserve">- AI BOM / ML-BOM generation: partial (AI asset discovery inventory; CycloneDX ML-BOM export unverified)
- AI model file scanning: GA, core strength
- AI license/provenance: partial
- AI-assisted: yes (detection models)
- NL query: unverified
- MCP/agent: agentic security module GA claim</t>
  </si>
  <si>
    <t xml:space="preserve">https://hiddenlayer.com/</t>
  </si>
  <si>
    <t xml:space="preserve">- AI BOM / ML-BOM generation: partial (model lineage through Artifactory, model registry; formal CycloneDX ML-BOM output unverified)
- AI model file scanning: Xray scans Hugging Face models for malicious code/licence (GA per JFrog docs, unverified here)
- AI license/provenance: yes (model licence and provenance in catalog)
- AI-assisted: JFrog AI-driven curation and MCP server for Artifactory
- Natural-language query: via JFrog MCP server
- MCP/agent: MCP Registry in AI Catalog (2026)</t>
  </si>
  <si>
    <t xml:space="preserve">https://jfrog.com/blog/jfrog-named-a-leader-in-the-gartner-magic-quadrant/</t>
  </si>
  <si>
    <t xml:space="preserve">- AI BOM / ML-BOM generation: GA (AI-BOM; standards export format unverified)
- Model file scanning: no
- AI license/provenance: partial (reputation scoring)
- AI-assisted: yes
- NL query: unverified
- MCP/agent: MCP server discovery GA</t>
  </si>
  <si>
    <t xml:space="preserve">- AI BOM / ML-BOM generation: GA claim (AIBOM via UnifAI and xBOM Manager; format details not public)
- AI model file scanning: unverified
- AI license/provenance: AI asset provenance claims
- AI-assisted enrichment/VEX: agentic AI remediation (GA claim); Frontier Defense multi-agent discovery-validate-patch-verify engine with BYO frontier models (Anthropic, OpenAI, Llama, Gemini, Gemma, OpenRouter, Bedrock), GA per vendor Sep 2026
- NL query: unverified
- MCP/agent: agentic application security claimed</t>
  </si>
  <si>
    <t xml:space="preserve">https://finance.yahoo.com/technology/ai/articles/lineaje-recognized-visionary-2026-gartner-154300110.html</t>
  </si>
  <si>
    <t xml:space="preserve">- AI BOM / ML-BOM generation: GA (AIBOM engine; format alignment to CycloneDX ML-BOM asserted in community wiki, product output format unverified)
- AI model file scanning: model vetting for undocumented training data, licensing, policy (not malware byte scanning; unverified)
- AI license/provenance: yes
- AI-assisted enrichment: AI-powered exposure analysis (Jul 2026)
- NL query: unverified
- MCP/agent: unverified</t>
  </si>
  <si>
    <t xml:space="preserve">https://www.manifestcyber.com/press/first-ai-risk-transparency-solution</t>
  </si>
  <si>
    <t xml:space="preserve">- AI BOM / ML-BOM generation: GA (models, frameworks, datasets, agents, MCP connections; export format not documented, CycloneDX unverified)
- AI model file scanning: not documented
- AI license/provenance: model licence policy enforcement
- AI-assisted enrichment/VEX: Mend AI remediation features (marketing)
- NL query: unverified
- MCP/agent: agent and MCP discovery GA</t>
  </si>
  <si>
    <t xml:space="preserve">https://www.mend.io/mend-ai/</t>
  </si>
  <si>
    <t xml:space="preserve">- AI BOM / ML-BOM generation: GA inventory (standards export unverified)
- Model file scanning: supply chain scanning of models and notebooks (vendor claim)
- AI license/provenance: partial
- AI-assisted: yes
- NL query: unverified
- MCP/agent: core (endpoint inventory of agents, MCP servers and skills with Governed Registry, announced Sep 2026 per vendor, GA status not stated)</t>
  </si>
  <si>
    <t xml:space="preserve">https://noma.security/</t>
  </si>
  <si>
    <t xml:space="preserve">- AI BOM / ML-BOM generation: partial (runtime inventory of models and frameworks; standards export unverified)
- Model file scanning: runtime integrity, not static file scan
- AI license: no
- AI-assisted: yes
- NL query: unverified
- MCP/agent: agent workflow protection</t>
  </si>
  <si>
    <t xml:space="preserve">https://www.oligo.security/</t>
  </si>
  <si>
    <t xml:space="preserve">- AI BOM / ML-BOM generation: no
- AI model file scanning (pickle/safetensors malware): no
- AI license/provenance analysis: no
- AI-assisted enrichment/VEX: no VEX; Debricked uses ML for vulnerability database curation and risk prediction; Application Security Aviator (Remediation Aviator) is SAST-only audit and fix generation and does not cover SCA or SBOM
- Natural-language query: no
- MCP/agent integration: no official MCP server found for Core SCA or Fortify (unverified)</t>
  </si>
  <si>
    <t xml:space="preserve">https://www.opentext.com/products/application-security-aviator</t>
  </si>
  <si>
    <t xml:space="preserve">- AI BOM / ML-BOM generation: GA (Radar-derived AI asset inventory; CycloneDX export unverified)
- AI model file scanning: GA (Guardian; ModelScan OSS)
- AI license/provenance: partial
- AI-assisted: yes
- NL query: unverified
- MCP/agent: AI agent security module (2025-2026)</t>
  </si>
  <si>
    <t xml:space="preserve">https://www.paloaltonetworks.com/company/press/2025/palo-alto-networks-completes-acquisition-of-protect-ai</t>
  </si>
  <si>
    <t xml:space="preserve">- AI BOM: no (usage inventory only)
- Model file scanning: no
- AI license: no
- AI-assisted: yes
- NL query: n/a
- MCP/agent: GA claim</t>
  </si>
  <si>
    <t xml:space="preserve">https://prompt.security/blog/prompt-security-sentinelone-a-new-chapter-begins</t>
  </si>
  <si>
    <t xml:space="preserve">- AI BOM: GA claim (format details thin)
- Model file scanning: unverified
- AI license: unverified
- AI-assisted enrichment/VEX: yes (agentic remediation)
- NL query: unverified
- MCP/agent: unverified</t>
  </si>
  <si>
    <t xml:space="preserve">https://safeguard.sh/</t>
  </si>
  <si>
    <t xml:space="preserve">- AI BOM: unverified (Scribe blogs discuss AI supply chain; product feature not evidenced)
- Model scanning: no
- AI license: no
- AI-assisted: Scribe AI assistant claims (unverified)
- NL query: unverified
- MCP/agent: unverified</t>
  </si>
  <si>
    <t xml:space="preserve">https://scribesecurity.com/</t>
  </si>
  <si>
    <t xml:space="preserve">- AI BOM / ML-BOM generation: GA (snyk aibom, CycloneDX 1.6 JSON, HTML view; models, agents, tools, MCP client-server chains)
- AI model file scanning: no
- AI license/provenance: model card and licence metadata included where available
- AI-assisted enrichment/VEX: Snyk Agent Fix and DeepCode AI for remediation; VEX generation not AI-based
- Natural-language query: Snyk MCP server exposes scans to coding agents; Evo MCP Server (Sept 2026) lets any MCP client ask about the AI asset inventory, connections and policies
- MCP/agent integration: GA MCP server; Evo MCP Server for AI asset and policy management (vendor claim, product updates page 2026-09-18); experimental 'snyk studio' command for AI coding tools (CLI v1.1307.4)</t>
  </si>
  <si>
    <t xml:space="preserve">https://docs.snyk.io/developer-tools/snyk-cli/commands/aibom.md</t>
  </si>
  <si>
    <t xml:space="preserve">- AI BOM / ML-BOM generation: GA (AIBOM ingestion and AI component inspection; Hugging Face model support in Lifecycle)
- AI model file scanning (malicious model detection): Sonatype markets malicious AI model blocking in Repository Firewall and, from 14 Oct 2026, in Nexus Repository Pro+ which screens AI models and MCP servers at request time (vendor claim; detection method not detailed)
- AI license/provenance: yes (model licence and policy)
- AI-assisted enrichment/VEX: Sonatype AI features for prioritisation (marketing)
- Natural-language query: unverified
- MCP/agent: Sonatype MCP server / Nexus Repository MCP registry features announced 2026 (unverified); Nexus Repository Pro+ screens MCP servers requested by developers or AI agents against policy (Oct 2026, vendor claim)</t>
  </si>
  <si>
    <t xml:space="preserve">https://www.sonatype.com/products/sbom-manager</t>
  </si>
  <si>
    <t xml:space="preserve">- AI BOM / ML-BOM generation: no public statement (not publicly disclosed)
- AI model file scanning (pickle/safetensors malware): no
- AI license/provenance analysis: no
- AI-assisted enrichment/VEX: no VEX; Veracode Fix (GenAI, CLI since June 2023) generates SAST fixes and, since CLI 2.52.0 (Aug 2026), 'veracode fix sca' fixes for vulnerable dependencies found in SCA scans; Veracode Fix does not act on SBOM documents
- Natural-language query: no
- MCP/agent integration: no official Veracode MCP server found; community MCP servers exist on GitHub (unsupported)</t>
  </si>
  <si>
    <t xml:space="preserve">https://docs.veracode.com/updates/r/Veracode_CLI_Updates</t>
  </si>
  <si>
    <t xml:space="preserve">- AI BOM / ML-BOM generation: GA (CycloneDX ML-BOM)
- Model file scanning: no
- AI license/provenance: partial
- AI-assisted: platform is LLM-driven SAST
- NL query: unverified
- MCP/agent: MCP server discovery in code</t>
  </si>
  <si>
    <t xml:space="preserve">https://zeropath.com/products/aibom</t>
  </si>
  <si>
    <t xml:space="preserve">- AI BOM / ML-BOM generation: GA (agents, MCP servers, skills, tools, models)
- Model file scanning: unverified
- AI license/provenance: partial
- AI-assisted: no
- NL query: via its own MCP server
- MCP/agent integration: core purpose</t>
  </si>
  <si>
    <t xml:space="preserve">https://github.com/msaad00/agent-bom</t>
  </si>
  <si>
    <t xml:space="preserve">https://github.com/bomctl/bomctl</t>
  </si>
  <si>
    <t xml:space="preserve">- AI BOM: no (can store ML-BOM documents)
- Model scanning: no
- AI license: no
- AI-assisted: no
- NL query: no
- MCP/agent: unverified</t>
  </si>
  <si>
    <t xml:space="preserve">https://github.com/chainloop-dev/chainloop</t>
  </si>
  <si>
    <t xml:space="preserve">- AI BOM: no
- Model scanning: no
- AI license: no
- AI-assisted: GitLab Duo vulnerability explanation and resolution (code-level)
- NL query: GitLab Duo Chat
- MCP/agent: GitLab MCP server GA for any MCP-compatible agent on Free, Premium and Ultimate (19.5, Oct 2026) with toolset selection, an artifact file tool and Duo agent tools, and vulnerability tools list_vulnerabilities, get_vulnerability, save_vulnerability (GA, Ultimate, 19.4); automated triage and remediation profiles via Duo Agent Platform (GA, Ultimate, 19.4); AI Governance 'Externally Connected Agents' (Beta, Premium and Ultimate, 19.5) extends visibility to Claude Code, Cursor and Codex</t>
  </si>
  <si>
    <t xml:space="preserve">https://docs.gitlab.com/user/application_security/dependency_scanning/</t>
  </si>
  <si>
    <t xml:space="preserve">- AI BOM: no native generation; can score/merge AIBOM documents as CycloneDX
- Model scanning: no
- AI license: no
- AI-assisted: unverified
- NL query: unverified
- MCP/agent: unverified</t>
  </si>
  <si>
    <t xml:space="preserve">https://github.com/interlynk-io/sbomqs</t>
  </si>
  <si>
    <t xml:space="preserve">- AI BOM: no
- Model scanning: no
- AI license: no
- AI-assisted enrichment/VEX: Inspector uses AI for PR review and fixes (GA)
- NL query: unverified
- MCP/agent: unverified</t>
  </si>
  <si>
    <t xml:space="preserve">https://www.kusari.dev/</t>
  </si>
  <si>
    <t xml:space="preserve">- AI BOM / ML-BOM: no
- AI model file scanning: no
- AI license/provenance: no
- AI-assisted enrichment: no
- Natural-language query: no
- MCP/agent integration: no</t>
  </si>
  <si>
    <t xml:space="preserve">https://github.com/microsoft/sbom-tool</t>
  </si>
  <si>
    <t xml:space="preserve">- AI BOM / ML-BOM generation: GA for Hugging Face models
- Model file scanning: no
- AI license/provenance: extracts licence and provenance metadata
- AI-assisted: no
- NL query: no
- MCP/agent: no</t>
  </si>
  <si>
    <t xml:space="preserve">https://github.com/aetheris-ai/aibom-generator</t>
  </si>
  <si>
    <t xml:space="preserve">- AI BOM / ML-BOM generation: yes (cdxgen emits machine-learning-model and data components, prompts, MCP server configs, agent frameworks; governance analysis; v13.2.0 adds agentic-assistant inventory and MCP Registry/MCPB/DXT manifest parsing)
- AI model file scanning (pickle/safetensors malware): no (PyTorch pickle checkpoints are flagged cdx:ai:unsafeDeserialization=true but not scanned)
- AI license/provenance analysis: partial (model metadata from Hugging Face; CycloneDX 1.7 citations for provenance)
- AI-assisted enrichment/VEX: no
- Natural-language query: no
- MCP/agent integration: cdxgen detects MCP client and server configs; server mode exists; dedicated cdxgen MCP server unverified</t>
  </si>
  <si>
    <t xml:space="preserve">https://github.com/CycloneDX/cdxgen/releases/latest</t>
  </si>
  <si>
    <t xml:space="preserve">- AI BOM / ML-BOM generation: no (ingests ML-BOM components produced elsewhere)
- AI model file scanning: no
- AI license/provenance analysis: licence policy applies to model components if licence data present
- AI-assisted enrichment/VEX: no
- Natural-language query: no
- MCP/agent integration: none official (community MCP servers exist, unverified)</t>
  </si>
  <si>
    <t xml:space="preserve">https://docs.dependencytrack.org/changelog/</t>
  </si>
  <si>
    <t xml:space="preserve">https://github.com/eBay/sbom-scorecard</t>
  </si>
  <si>
    <t xml:space="preserve">- AI BOM / ML-BOM: the SPDX 3.0.1 AI and Dataset profiles define AIPackage and DatasetPackage classes (hyperparameters, energy consumption, safety risk assessment, sensitive PI, dataset provenance); tooling to author them is thin
- AI model file scanning: no
- AI license/provenance: licence expressions for models/datasets
- AI-assisted: no
- MCP/agent: no</t>
  </si>
  <si>
    <t xml:space="preserve">https://spdx.github.io/spdx-spec/v3.0.1/model/AI/AI/</t>
  </si>
  <si>
    <t xml:space="preserve">- AI BOM / ML-BOM generation: partial (GGUF and Docker Model artefact detection reported in Anchore 6.2 blog; broader model/dataset ML-BOM not native)
- AI model file scanning: no
- AI license/provenance: no
- AI-assisted enrichment: no
- Natural-language query: no
- MCP/agent integration: Anchore Enterprise MCP server (commercial); community MCP wrappers for Syft/Grype unverified</t>
  </si>
  <si>
    <t xml:space="preserve">- AI BOM / ML-BOM generation: no
- AI model file scanning: no
- AI license/provenance: no
- AI-assisted enrichment/VEX: no
- Natural-language query: no
- MCP/agent integration: Aqua published a Trivy MCP server (2025, unverified status)</t>
  </si>
  <si>
    <t xml:space="preserve">https://trivy.dev/latest/docs/supply-chain/vex/</t>
  </si>
  <si>
    <t xml:space="preserve">- AI-generated threat model from code: yes
- AI assistant: yes
- LLM diagram creation: no
- AI threat libraries for AI systems: no specific
- Agent/MCP: yes (core)
- Model: Bedrock, default Claude Sonnet 4.5
- On-prem AI: no</t>
  </si>
  <si>
    <t xml:space="preserve">https://github.com/awslabs/threat-composer/releases</t>
  </si>
  <si>
    <t xml:space="preserve">- AI-generated threat model from code/APIs: implicit via context graph, not a formal STRIDE artefact
- AI assistant: AI Security Engineer agents
- LLM-based diagram creation: no
- AI threat libraries for AI systems: not disclosed
- Agent/MCP: agentic platform; MCP not confirmed
- Model: not disclosed
- On-prem AI: yes (air-gapped and sovereign options)</t>
  </si>
  <si>
    <t xml:space="preserve">https://www.aptori.com/</t>
  </si>
  <si>
    <t xml:space="preserve">- AI-generated threat model from diagram/IaC/description: yes (marketed; STRIDE and LINDDUN via the MCP generate_threat_model tool)
- AI assistant: remediation suggestions (get_remediation returns fixes as code, cloud config or IaC)
- LLM-based diagram creation: not disclosed
- AI threat libraries: GenAI reference threat models for Azure/AWS, MAESTRO
- Agent/MCP: yes, remote Aribot MCP server (mcp.aribot.ayurak.com, Streamable HTTP, OAuth 2.1 with PKCE; manifest repo github.com/aristiun/aribot-mcp created 2026-07-12) exposing generate_threat_model, verify_threats_in_code, get_traceability, get_framework_coverage, compliance_status and other tools for Claude Code, ChatGPT, Gemini and any MCP client; usage metered against the company licence
- Model: not disclosed
- On-prem AI: not disclosed</t>
  </si>
  <si>
    <t xml:space="preserve">https://www.aristiun.com/automated-threat-modeling-using-ai</t>
  </si>
  <si>
    <t xml:space="preserve">- AI-generated threat model from design/code: yes
- AI assistant for threats/mitigations: yes
- LLM-based diagram creation: not disclosed
- AI threat libraries for AI systems: guardrails for AI code generation
- Agent/MCP: MCP integration listed
- Model: not disclosed
- On-prem AI: no</t>
  </si>
  <si>
    <t xml:space="preserve">https://www.devarmor.com/</t>
  </si>
  <si>
    <t xml:space="preserve">- AI-generated threat model from description (paste text, canvas rendered with components, flows, trust boundaries) and from code repo (Code Genius, enterprise)
- AI assistant for threats and mitigations (Codex attaches threats/default mitigations; AI-curated library covers adversarial ML, prompt injection, data poisoning)
- LLM-based diagram creation: yes
- AI threat libraries for AI/ML/LLM/agentic: MAESTRO framework plus AI-specific threat content
- Agent/MCP: Devici MCP for Cursor, Claude Code, VS Code + Copilot (enterprise); User-role-scoped API tokens for least-privilege MCP access and /sync-devici-threat-model prompt to sync models with SD Elements MCP (v2.30.0, Sept 2026)
- Model used: not publicly disclosed
- On-prem AI: no</t>
  </si>
  <si>
    <t xml:space="preserve">https://www.securitycompass.com/devici/ai-infusion/</t>
  </si>
  <si>
    <t xml:space="preserve">- AI-generated threat model from image/diagram, text description, code snippet, docs, user stories, SBOM (Jeff, one-shot model generation)
- AI assistant for threats and mitigations (Jeff chat; Bex AI conversational security in Jira analyses feature descriptions)
- LLM-based diagram creation (yes, Jeff renders components into canvas that feeds the rules engine)
- AI threat libraries for AI/ML systems (yes, curated AI/ML libraries, not LLM-generated)
- Agent/MCP: post-acquisition parent ThreatModeler ships an MCP server; IriusRisk-native MCP not confirmed
- Model: OpenAI Enterprise (Ireland instance), RAG over component data, no cross-customer training; no BYO-LLM
- On-prem AI: only by CSM arrangement, not standard</t>
  </si>
  <si>
    <t xml:space="preserve">https://www.iriusrisk.com/ai-threat-modeling</t>
  </si>
  <si>
    <t xml:space="preserve">- AI-generated threat model from description/code/diagram: yes
- AI assistant: yes
- LLM diagram creation: Mermaid/PlantUML text diagrams
- AI threat libraries: whatever is in the model plus pasted references
- Agent/MCP: coding agents can consume threat-model MCP servers (awslabs, mcp-stride-gpt, ThreatModeler, Devici, SD Elements)
- Model: BYO
- On-prem AI: yes with local models</t>
  </si>
  <si>
    <t xml:space="preserve">https://xvnpw.github.io/posts/scaling-threat-modeling-with-ai/</t>
  </si>
  <si>
    <t xml:space="preserve">Framework only</t>
  </si>
  <si>
    <t xml:space="preserve">https://learn.microsoft.com/en-us/security/engineering/threat-modeling-aiml</t>
  </si>
  <si>
    <t xml:space="preserve">2026-09-26 (partially)</t>
  </si>
  <si>
    <t xml:space="preserve">- AI-generated threat model: via prompting only; no first-party threat modeling agent or TMT integration found
- AI assistant: yes
- Model: OpenAI/Microsoft models
- On-prem AI: no</t>
  </si>
  <si>
    <t xml:space="preserve">None built in. No AI generation, no assistant, no MCP. Microsoft's AI/ML threat modeling guidance is documentation, not tooling.</t>
  </si>
  <si>
    <t xml:space="preserve">https://learn.microsoft.com/en-us/azure/security/develop/threat-modeling-tool-releases</t>
  </si>
  <si>
    <t xml:space="preserve">https://github.com/mrwadams/stride-gpt</t>
  </si>
  <si>
    <t xml:space="preserve">https://www.nist.gov/itl/ai-risk-management-framework</t>
  </si>
  <si>
    <t xml:space="preserve">- AI-generated threat model from code: yes
- AI assistant: findings in PR/IDE
- LLM-based diagram creation: architecture map inferred
- AI threat libraries for agentic systems: yes (agent tools, MCP threats)
- Agent/MCP: yes
- Model: not disclosed
- On-prem AI: no</t>
  </si>
  <si>
    <t xml:space="preserve">https://www.oplane.com/</t>
  </si>
  <si>
    <t xml:space="preserve">Framework only; STRIDE GPT maps to ASI</t>
  </si>
  <si>
    <t xml:space="preserve">https://genai.owasp.org/initiatives/agentic-security-initiative/</t>
  </si>
  <si>
    <t xml:space="preserve">https://owaspai.org/</t>
  </si>
  <si>
    <t xml:space="preserve">https://owasp.org/www-project-cornucopia/</t>
  </si>
  <si>
    <t xml:space="preserve">https://genai.owasp.org/</t>
  </si>
  <si>
    <t xml:space="preserve">- AI-generated design review/threat model from plans and design docs: yes (vendor claim, autonomous design reviews)
- AI assistant: yes (agentic reviewer in Jira, Confluence, PRs)
- LLM-based diagram creation: architecture and data-flow map inferred from code and cloud context (vendor claim)
- AI threat libraries for AI systems: not disclosed
- Agent/MCP: guardrails delivered into Claude Code and Cursor; MCP server not confirmed
- Model: not disclosed (LLM-based reasoning across code, architecture and cloud context)
- On-prem AI: no (AWS-hosted SaaS)</t>
  </si>
  <si>
    <t xml:space="preserve">https://www.primesec.ai/ai-security-architect</t>
  </si>
  <si>
    <t xml:space="preserve">- AI-generated threat model from diagram/code: no (requirements are rule-derived; Devici supplies AI diagram generation)
- AI assistant for threats and mitigations: Navigator answers requirement, control and regulatory questions in context
- LLM-based diagram creation: no (via Devici)
- AI threat libraries for AI/ML/LLM/agentic systems: content for AI-generated code and agentic workflows; 'SD Elements for Agentic AI Workflow' released 2026-02-19, documented from release 2026.8.1 as a four-stage prompt pipeline (Survey, Generate, Apply, Verify) with /generate-security-skill-files (SKILL.md generation), /verify-with-scanner and /generate-issue-tracker-tasks prompts
- Agent/MCP: SD Elements MCP Server lets Copilot, Cursor, Claude query requirements while coding; /sync-devici-threat-model workflow prompt imports Devici threat models into SD Elements projects (release 2026.9.1; needs the devici and zeropath features enabled); release 2026.10.1 adds MCP OAuth setup guides (admin and user) for connecting Claude Code, GitHub Copilot in VS Code and ChatGPT Codex to the MCP Server
- Model used: not publicly disclosed
- On-prem AI: not disclosed</t>
  </si>
  <si>
    <t xml:space="preserve">https://www.securitycompass.com/sdelements/navigator/</t>
  </si>
  <si>
    <t xml:space="preserve">- Predictive attack simulation (probabilistic graph, not LLM)
- No LLM assistant, diagram generation or MCP disclosed</t>
  </si>
  <si>
    <t xml:space="preserve">https://foreseeti.com/</t>
  </si>
  <si>
    <t xml:space="preserve">- AI-generated threat model from description/docs/diagram: yes
- AI assistant for threats and mitigations: yes
- LLM-based diagram creation: not primary
- AI threat libraries for AI systems: not disclosed
- Agent/MCP: Seezo Agent integrates with coding agents (Claude, Cursor)
- Model: Anthropic Claude as foundation model
- On-prem AI: no</t>
  </si>
  <si>
    <t xml:space="preserve">https://seezo.io/</t>
  </si>
  <si>
    <t xml:space="preserve">None as tooling; Shostack publishes regular commentary on AI-assisted threat modeling on the shostack.org blog (Threat Model Thursday series, e.g. 'Threats and LLMs' 2026-10-01 and 'Threat Modeling Intensive with Complete AI From a Developer's POV' 2026-10-13), and the Threat Modeling Intensive course now covers working with AI</t>
  </si>
  <si>
    <t xml:space="preserve">https://shostack.org/resources/threat-modeling</t>
  </si>
  <si>
    <t xml:space="preserve">- AI-generated threat model from description, diagram, IaC and code repo (code-repo feature launched 2026-01-13)
- AI assistant for threats and mitigations: yes
- LLM-based diagram creation: yes
- AI threat libraries for LLM/agentic systems: yes (dedicated templates)
- Agent/MCP: API and MCP for agent workflows and CI/CD; SecureFlag MCP Server (Sept 2026) generates ThreatCanvas threat models from user stories inside Claude Code and Codex and links findings to training labs
- Model: BYO-LLM credentials supported (Anthropic, Azure OpenAI, OpenAI, Gemini)
- On-prem AI: code never leaves infrastructure; only architectural descriptions sent; BYO-LLM allows customer-controlled endpoints</t>
  </si>
  <si>
    <t xml:space="preserve">https://blog.secureflag.com/2026/01/13/code-repo-to-threatcanvas/</t>
  </si>
  <si>
    <t xml:space="preserve">- AI-generated threat model from documents, diagrams, IaC and cloud context (System Mapping Agent)
- AI assistant for threats and mitigations (Graph Agent enrichment, Reporting Agent)
- LLM-based diagram creation (system map generated from inputs)
- AI threat libraries for AI/agentic systems (MAESTRO support, EU AI Act mapping)
- Agent/MCP integration (ThreatModeler MCP Server, GA per product pages)
- Model used: not publicly disclosed; BYO-LLM not documented
- On-prem AI option: not publicly disclosed</t>
  </si>
  <si>
    <t xml:space="preserve">https://www.threatmodeler.ai/products/cloudmodeler</t>
  </si>
  <si>
    <t xml:space="preserve">- AI-generated design threat model: no
- AI assistant: NARC AI for intel-to-ATT&amp;CK
- Agent/MCP: Tidal MCP Server
- Model: not disclosed
- On-prem AI: no</t>
  </si>
  <si>
    <t xml:space="preserve">https://www.tidalcyber.com/</t>
  </si>
  <si>
    <t xml:space="preserve">None (deterministic metadata rules). No LLM, assistant or MCP.</t>
  </si>
  <si>
    <t xml:space="preserve">https://tutamantic.com/</t>
  </si>
  <si>
    <t xml:space="preserve">https://github.com/cairis-platform/cairis</t>
  </si>
  <si>
    <t xml:space="preserve">- AI-generated threat model from description: pytmGPT (OpenAI) drafts a pytm model from natural language
- AI assistant: no
- LLM threat library: LLM01-LLM09 rules covering LLM application threats
- Agent/MCP: none official
- Model: OpenAI via user key
- On-prem AI: not built in</t>
  </si>
  <si>
    <t xml:space="preserve">https://github.com/OWASP/pytm</t>
  </si>
  <si>
    <t xml:space="preserve">None. No AI generation, assistant or MCP in the current release; roadmap for v3 is 'not well defined'.</t>
  </si>
  <si>
    <t xml:space="preserve">https://owasp.org/www-project-threat-dragon/</t>
  </si>
  <si>
    <t xml:space="preserve">- AI-generated threat model from diagram/code/IaC/description: LLM-powered threat suggestion against the DFD and library packs; DFD generation from architecture diagram images (website claim, v0.4.0)
- AI assistant for threats and mitigations: threat suggestions only, no documented mitigation assistant
- LLM-based diagram creation: image-to-DFD (vendor-stated)
- AI threat libraries for AI/ML/LLM/agentic systems: OWASP LLM Top 10 pack included; no MAESTRO or agentic pack documented
- Agent / MCP integration: built-in MCP server (v0.4.0 per website)
- Model used or BYO-LLM: bring-your-own-model; no vendor-hosted model
- On-prem AI option: yes, self-hosted with a local or private LLM endpoint</t>
  </si>
  <si>
    <t xml:space="preserve">https://www.precogly.org/</t>
  </si>
  <si>
    <t xml:space="preserve">- AI-generated threat model from code and design context: yes (STRIDE, PASTA, LINDDUN, VAST, Attack Trees, OCTAVE)
- AI assistant for threats and mitigations: yes, mitigation roadmap and per-threat mitigations in THREAT_MODEL.md
- PR-scoped threat assessment: yes
- LLM-based diagram creation: no (Markdown narrative only)
- Agent/MCP: delivered as a Lola module for Claude Code, Cursor and Gemini CLI, not an MCP server
- Model used: BYO, whatever model the host coding agent uses</t>
  </si>
  <si>
    <t xml:space="preserve">https://developers.redhat.com/articles/2026/09/21/ai-threat-modeling-shouldnt-be-a-bottleneck-so-we-open-sourced-ours</t>
  </si>
  <si>
    <t xml:space="preserve">- AI-generated threat model from description, image and code repo: yes
- AI assistant for threats and mitigations: yes
- LLM-based diagram creation: DFD generation
- AI threat libraries for LLM/agentic: OWASP LLM Top 10 and ASI mapping, ATLAS
- Agent/MCP: mcp-stride-gpt exposes 8 tools (framework, mitigations, DREAD, attack trees, tests, report, coverage, repo analysis guide) for Claude Code/Desktop and generic MCP clients
- Model: BYO-LLM across OpenAI, Anthropic, Google, Mistral, Groq, DeepSeek, OpenRouter (added v0.20.0), LiteLLM, LM Studio
- On-prem AI: yes via LM Studio/local models
- Agentic CLI: /analyze command autonomously explores a codebase and produces a STRIDE threat model, with checkpoint resume and per-phase token accounting since v0.20.0</t>
  </si>
  <si>
    <t xml:space="preserve">None built in. Community experiments use LLMs to write Threagile YAML, but no official AI feature, assistant or MCP.</t>
  </si>
  <si>
    <t xml:space="preserve">https://github.com/Threagile/threagile</t>
  </si>
  <si>
    <t xml:space="preserve">- AI-generated threat model from code: yes (CLI/MCP multi-agent, Bedrock)
- AI assistant for threats and mitigations: yes via MCP
- LLM-based diagram creation: no
- AI threat libraries for AI systems: not specific
- Agent/MCP: yes, two AWS MCP servers
- Model: Amazon Bedrock, default Claude Sonnet 4.5 since v1.0.83 (June 2026), per-model sampling params since v1.0.84
- On-prem AI: no (Bedrock)</t>
  </si>
  <si>
    <t xml:space="preserve">https://github.com/DataDog/threatest</t>
  </si>
  <si>
    <t xml:space="preserve">https://github.com/threatspec/threatspec</t>
  </si>
  <si>
    <t xml:space="preserve">Ai generated requirements: No
Ai assistant over standards: No
Ai mapping findings to requirements: Findings mapped to CRA/compliance reports
Automated design review: No (testing, not design)
Agent mcp integration: Red/blue/purple agents; MCP not verified
Model used: Not publicly disclosed</t>
  </si>
  <si>
    <t xml:space="preserve">https://www.helpnetsecurity.com/2026/04/27/aptori-autonomous-offensive-testing-capabilities/</t>
  </si>
  <si>
    <t xml:space="preserve">Ai generated requirements: No
Ai assistant over standards: Anya conversational assistant
Ai mapping findings to requirements: AI-contextualised findings mapped to policies/controls; CRA reporting obligations (24h/72h/14d) tracked natively
Automated design review: No
Agent mcp integration: Agentic AI (Anya) with an Agentic Control plane and agents for cloud risk, exploitability, mitigation and patch orchestration (launched Aug 2026 at Black Hat, covered again Sept 2026); MCP not verified
Model used: Verified Claude access through Anthropic's Cyber Verification Program (joined July 2026); other models not disclosed</t>
  </si>
  <si>
    <t xml:space="preserve">https://www.armorcode.com/platform</t>
  </si>
  <si>
    <t xml:space="preserve">Ai generated requirements: Not documented for requirements module
Ai assistant over standards: AI Pentest (autonomous and, since 2 Oct 2026, analyst-supervised Assisted mode) is documented in platform release notes; no AI assistant over standards documented for the requirements module
Ai mapping findings to requirements: Scripted comparison via API (not AI)
Automated design review: Threat modelling module
Agent mcp integration: Not documented
Model used: Not publicly disclosed</t>
  </si>
  <si>
    <t xml:space="preserve">https://blog.convisoappsec.com/en/automation-of-security-requirements-with-the-conviso-platform-api/</t>
  </si>
  <si>
    <t xml:space="preserve">Ai generated requirements: Indirect: AI-generated threat model, requirements generated deterministically in SD Elements
Ai assistant over standards: Not described
Ai mapping findings to requirements: Not described
Automated design review: Yes: text description or repo to rendered canvas with components, flows, trust boundaries and threats
Agent mcp integration: Devici MCP hosted endpoint for Cursor, Claude, VS Code Copilot; vendor states source code and chat history never leave the client; '/sync-devici-threat-model' workflow prompt keeps threat models synchronised between Devici and SD Elements (v2.30.0, 16 Sept 2026)
Model used: Not publicly disclosed</t>
  </si>
  <si>
    <t xml:space="preserve">https://www.securitycompass.com/devici/</t>
  </si>
  <si>
    <t xml:space="preserve">Ai generated requirements: Requirement quality/authoring assistants marketed by both vendors (unverified detail)
Ai assistant over standards: No
Ai mapping findings to requirements: No
Automated design review: No
Agent mcp integration: Not verified
Model used: IBM watsonx (IBM); Polarion not disclosed</t>
  </si>
  <si>
    <t xml:space="preserve">https://www.ibm.com/products/requirements-management</t>
  </si>
  <si>
    <t xml:space="preserve">Ai generated requirements: Jeff AI generates full threat models (threats + countermeasures) from images, prompts, user stories, docs, transcripts or code; countermeasures are the requirement output
Ai assistant over standards: Bex AI: conversational security assessment inside Jira
Ai mapping findings to requirements: Scanner-to-countermeasure mapping is rules-based, not LLM
Automated design review: Jeff produces initial diagram and threat model for review
Agent mcp integration: MCP-enabled threat modelling for AI agents (vendor site)
Model used: Not publicly disclosed; Jeff enabled per tenant by CSM; on-prem Jeff availability by request</t>
  </si>
  <si>
    <t xml:space="preserve">https://www.iriusrisk.com/documentation/use-our-ai-assistant-jeff</t>
  </si>
  <si>
    <t xml:space="preserve">Ai generated requirements: Jama Connect Advisor evaluates requirement quality (EARS/INCOSE); generative features marketed 2025 (details not verified this session)
Ai assistant over standards: No
Ai mapping findings to requirements: No
Automated design review: No
Agent mcp integration: Not verified
Model used: Not publicly disclosed</t>
  </si>
  <si>
    <t xml:space="preserve">https://www.jamasoftware.com/platform/jama-connect/</t>
  </si>
  <si>
    <t xml:space="preserve">Ai generated requirements: Atlassian Rovo / Azure DevOps Copilot can draft stories; no security-specific generation
Ai assistant over standards: No
Ai mapping findings to requirements: No
Automated design review: No
Agent mcp integration: Atlassian Rovo MCP server and Azure DevOps MCP server exist (general-purpose)
Model used: Vendor LLMs</t>
  </si>
  <si>
    <t xml:space="preserve">https://www.getxray.app/</t>
  </si>
  <si>
    <t xml:space="preserve">Ai generated requirements: No; plans are curated tool-control bundles, not textual requirements
Ai assistant over standards: Not described
Ai mapping findings to requirements: Findings mapped to plan items/controls (rules-based); AI agents for triage/fix marketed
Automated design review: No
Agent mcp integration: AI agents for product security marketed (2026 review sites); MCP not verified
Model used: Not publicly disclosed</t>
  </si>
  <si>
    <t xml:space="preserve">https://appsecsanta.com/jit</t>
  </si>
  <si>
    <t xml:space="preserve">Ai generated requirements: No
Ai assistant over standards: No
Ai mapping findings to requirements: AI-powered remediation recommendations
Automated design review: No
Agent mcp integration: Not verified
Model used: Not publicly disclosed</t>
  </si>
  <si>
    <t xml:space="preserve">https://www.invicti.com/blog/news/invicti-acquires-kondukto-to-deliver-proof-based-aspm</t>
  </si>
  <si>
    <t xml:space="preserve">Ai generated requirements: No
Ai assistant over standards: Commonly ingested as RAG corpus; OpenCRE Chat covers cheat sheets
Ai mapping findings to requirements: No
Automated design review: No
Agent mcp integration: No official
Model used: N/A</t>
  </si>
  <si>
    <t xml:space="preserve">https://cheatsheetseries.owasp.org/</t>
  </si>
  <si>
    <t xml:space="preserve">Ai generated requirements: Not the standard itself; ASVS JSON is the common grounding corpus for LLM requirement generation
Ai assistant over standards: Community ASVS MCP server (9 tools: query by level/category/keyword, PCI/HIPAA/GDPR/ISO mappings); OpenCRE Chat
Ai mapping findings to requirements: Via vendor tools
Automated design review: No
Agent mcp integration: Community MCP server, not OWASP-official
Model used: N/A / BYO</t>
  </si>
  <si>
    <t xml:space="preserve">https://medium.com/@clintcan/building-an-owasp-asvs-mcp-server-eb56ace0ceb8</t>
  </si>
  <si>
    <t xml:space="preserve">Ai generated requirements: No
Ai assistant over standards: No official
Ai mapping findings to requirements: No
Automated design review: No
Agent mcp integration: No official
Model used: N/A</t>
  </si>
  <si>
    <t xml:space="preserve">https://mas.owasp.org/</t>
  </si>
  <si>
    <t xml:space="preserve">Ai generated requirements: No
Ai assistant over standards: No official; SAMM podcast on AI (Jan 2026)
Ai mapping findings to requirements: No
Automated design review: No
Agent mcp integration: No official
Model used: N/A</t>
  </si>
  <si>
    <t xml:space="preserve">https://owaspsamm.org/blog/</t>
  </si>
  <si>
    <t xml:space="preserve">Ai generated requirements: Yes: security requirements and risk assessments generated from tickets, PRDs and design docs (core, GA since June 2025)
Ai assistant over standards: Self-serve chat interface giving engineers security guidance aligned with NIST, CIS, PCI, HITRUST (vendor site)
Ai mapping findings to requirements: Findings correlated against real execution paths across the product for prioritisation (vendor blog, Sept 2026); explicit finding-to-requirement traceability not described
Automated design review: Yes (core): autonomous design reviews producing risks and assessments in minutes
Agent mcp integration: MCP integration with Cursor, Claude Code and Codex for guardrails and autonomous remediation (vendor site)
Model used: LLM-based reasoning; specific model and BYO-LLM not publicly disclosed</t>
  </si>
  <si>
    <t xml:space="preserve">https://www.primesec.ai/resources/prime-security-is-now-ga</t>
  </si>
  <si>
    <t xml:space="preserve">Ai generated requirements: Partial (reported)
Ai assistant over standards: Unverified
Ai mapping findings to requirements: No
Automated design review: Yes (core)
Agent mcp integration: Unverified
Model used: Not publicly disclosed</t>
  </si>
  <si>
    <t xml:space="preserve">https://www.ycombinator.com/companies/remy-security</t>
  </si>
  <si>
    <t xml:space="preserve">Ai generated requirements: No (regulatory triage automation)
Ai assistant over standards: Not detailed
Ai mapping findings to requirements: No
Automated design review: No
Agent mcp integration: No
Model used: Not publicly disclosed</t>
  </si>
  <si>
    <t xml:space="preserve">https://requirementone.com/</t>
  </si>
  <si>
    <t xml:space="preserve">Ai generated requirements: No
Ai assistant over standards: MCP connector lets any LLM query SAMMY data for gap summaries, improvement-plan drafting, reports
Ai mapping findings to requirements: No
Automated design review: No
Agent mcp integration: MCP connector (BYO-LLM)
Model used: BYO-LLM via MCP</t>
  </si>
  <si>
    <t xml:space="preserve">https://sammy.codific.com/</t>
  </si>
  <si>
    <t xml:space="preserve">Ai generated requirements: Requirements are deterministic (library-driven), not LLM-generated; architecture-to-requirements via survey and via Devici OTM import; agentic workflow can drive the survey and apply countermeasures through MCP
Ai assistant over standards: Navigator: built-in AI assistant answering security/regulatory questions in context of a requirement (beta July 2024; Navigator v7 model default since 2026.6.3; disabled by default on AI Services deployments with a disclaimer since 2026.2.1)
Ai mapping findings to requirements: Automated validation of requirements against SAST results (ZeroPath integration); 'scan-for-verification-validation' workflow prompt uses LLM scans to post verification notes against countermeasures (2026.5.2); '/verify-with-scanner' available by default since 2026.8.2
Automated design review: Via Devici (sister product) threat modelling; '/sync-devici-threat-model' workflow prompt exports Open Threat Models from Devici into SD Elements (2026.9.1, 12 Sept 2026); not native LLM design review
Agent mcp integration: MCP server with integration tools and workflow prompts enabled by default (no feature flag) since 2026.8.2; OAuth sign-in to the MCP server for Claude Code, GitHub Copilot in VS Code and ChatGPT Codex, enabled per SaaS tenant by administrators (release 2026.10.1, no calendar date published); pre-built countermeasure skill files for OWASP Top 10 Web/API, Docker, and OWASP Top 10 for Web in Rust and Go (added in 2026.9.1, 12 Sept 2026); delivers requirements to GitHub Copilot, Cursor, Claude and generic LLM agents; 'SD Elements for Agentic AI Workflow' announced 20 Feb 2026 (paid upgrade)
Model used: Not publicly disclosed; no BYO-LLM statement found</t>
  </si>
  <si>
    <t xml:space="preserve">https://docs.sdelements.com/master/guide/docs/release_notes/</t>
  </si>
  <si>
    <t xml:space="preserve">Ai generated requirements: IDE-based AI threat modelling takes feature requirements and code and produces threats/mitigations in developer language; explicit 'Threat Canvas' product page not found on vendor site this session (unverified naming)
Ai assistant over standards: Not described
Ai mapping findings to requirements: Trust Agent correlates commit-level vulnerabilities with secure-coding policy/standards
Automated design review: Partial (developer-level threat modelling)
Agent mcp integration: Trust Agent: AI discovers MCP servers and tracks which LLMs contributed code
Model used: Not publicly disclosed</t>
  </si>
  <si>
    <t xml:space="preserve">https://www.helpnetsecurity.com/2026/03/17/secure-code-warrior-trust-agent-ai-governance/</t>
  </si>
  <si>
    <t xml:space="preserve">Ai generated requirements: Yes, from design documents and tickets
Ai assistant over standards: Partial (custom standards)
Ai mapping findings to requirements: Yes (explainable mapping)
Automated design review: Yes (core product)
Agent mcp integration: Integrations with Claude and Cursor coding agents
Model used: Anthropic Claude (per vendor site)</t>
  </si>
  <si>
    <t xml:space="preserve">Ai generated requirements: System Mapping Agent builds models from docs, diagrams, IaC, code; Graph Agent enriches controls; requirements derive from graph
Ai assistant over standards: Not specifically described
Ai mapping findings to requirements: Not described
Automated design review: Yes, agentic secure design control plane (GA 26 June 2026)
Agent mcp integration: MCP server for AI coding tools and agentic workflows
Model used: Bring Your Own AI model supported (vendor site)</t>
  </si>
  <si>
    <t xml:space="preserve">https://www.helpnetsecurity.com/2026/06/26/threatmodeler-introduces-nexus-to-automate-threat-modeling-with-ai-governance/</t>
  </si>
  <si>
    <t xml:space="preserve">Ai generated requirements: No
Ai assistant over standards: No
Ai mapping findings to requirements: Policy mapping rules-based
Automated design review: No
Agent mcp integration: Not verified
Model used: Not publicly disclosed</t>
  </si>
  <si>
    <t xml:space="preserve">https://checkmarx.com/press-releases/checkmarx-acquires-tromzo-to-launch-new-era-of-application-security/</t>
  </si>
  <si>
    <t xml:space="preserve">Ai generated requirements: No
Ai assistant over standards: GitLab Duo chat (general)
Ai mapping findings to requirements: No
Automated design review: No
Agent mcp integration: GitLab Duo Agent Platform (2025-2026); GitLab MCP Server with vulnerability list/get/manage tools (19.4, Sep 2026) and GA on Free, Premium and Ultimate with toolset selection and GitLab.com rate limits (19.5, 15 Oct 2026); Externally Connected Agents can be connected to AI Governance audit events (beta, 19.5); not requirement-specific
Model used: GitLab: Anthropic/Google models (per GitLab docs, unverified this session)</t>
  </si>
  <si>
    <t xml:space="preserve">https://docs.gitlab.com/user/application_security/</t>
  </si>
  <si>
    <t xml:space="preserve">Ai generated requirements: Yes (core use case); quality depends on prompt, grounding and review
Ai assistant over standards: Yes via RAG/MCP
Ai mapping findings to requirements: Possible with scanner exports
Automated design review: Possible from design docs
Agent mcp integration: Claude Code, Copilot, Cursor with ASVS MCP server (community, Oct 2025)
Model used: BYO: Claude, GPT, Gemini, local Llama/Mistral</t>
  </si>
  <si>
    <t xml:space="preserve">Ai generated requirements: No
Ai assistant over standards: Yes, OpenCRE Chat (LLM over CRE graph)
Ai mapping findings to requirements: Mapping is via CRE graph (CWE to ASVS to 800-53)
Automated design review: No
Agent mcp integration: No official MCP found
Model used: Not publicly disclosed</t>
  </si>
  <si>
    <t xml:space="preserve">https://www.opencre.org/</t>
  </si>
  <si>
    <t xml:space="preserve">Ai generated requirements: No
Ai assistant over standards: No
Ai mapping findings to requirements: No
Automated design review: No
Agent mcp integration: No
Model used: N/A</t>
  </si>
  <si>
    <t xml:space="preserve">https://github.com/devsecopsmaturitymodel/DevSecOps-MaturityModel</t>
  </si>
  <si>
    <t xml:space="preserve">https://github.com/SecurityRAT/SecurityRAT</t>
  </si>
  <si>
    <t xml:space="preserve">AI triage: AutoTriage (GA). AI autofix: AI AutoFix (auto-PR) for SAST/SCA/IaC; 10 fixes/month free, unlimited on paid. AI agents: Aikido Attack autonomous pentesting and 'Aikido AI' security agent/IDE agent (marketed; names partly unverified). MCP / IDE-agent: Aikido MCP server and IDE plugins for Cursor/VS Code/JetBrains (reported; unverified on fetched page). AI code governance: partial. AI-SPM: none. NL query: partial. Model: vendor-hosted for SaaS; credits for advanced AI features (100-200/month on Pro/Advanced); Altar-1 open-weight model (pruned GLM-5.3, 328 GB, GLM-5.3 licence, weights on Hugging Face). On-prem AI: yes, Altar on Aikido Machine (4x H200, vLLM) runs pentesting, Code Security Audit and Deep PR Review air-gapped (Sept 2026).</t>
  </si>
  <si>
    <t xml:space="preserve">https://www.aikido.dev/blog/aikido-altar-open-weight-ai-sovereign-security</t>
  </si>
  <si>
    <t xml:space="preserve">AI autofix: auto-PR (reported). AI triage: partial. AI agents: fix agent. MCP: unverified.</t>
  </si>
  <si>
    <t xml:space="preserve">https://www.amplify.security/</t>
  </si>
  <si>
    <t xml:space="preserve">AI triage: graph-based risk engine with business context. AI autofix: AutoFix Agent generates context-aware fixes across multiple vulnerability types (native findings; third-party coverage unverified). AI agents: Guardian Agent (governs coding agents), AutoFix Agent, AI Threat Modeling. MCP / IDE-agent: secure prompt enrichment and pre-commit prevention in IDE/agents (Cursor, Copilot etc. implied; explicit MCP server not verified); Apiiro CLI (Apr 2026). AI code governance: yes (AI-BOM, AI usage mapping, coding-agent guardrails; Claude Compliance API feed into the Software Graph for AI coding-agent visibility, Sept 2026). AI-SPM: partial. NL query: not verified. Model: vendor-hosted; BYO-LLM not documented. On-prem AI: none documented.</t>
  </si>
  <si>
    <t xml:space="preserve">https://apiiro.com/</t>
  </si>
  <si>
    <t xml:space="preserve">AI triage: exploitability validation. AI autofix: agent-driven remediation (scope unverified). AI agents: red/blue/purple agents (named by colour). MCP / IDE-agent: not verified. AI code governance: partial. AI-SPM: tests AI systems. NL query: not verified. Model: vendor-hosted; BYO in self-hosted (implied, unverified). On-prem AI: air-gap supported per site.</t>
  </si>
  <si>
    <t xml:space="preserve">https://aptori.com/</t>
  </si>
  <si>
    <t xml:space="preserve">AI triage: Anya Security Analyst / Risk Analyzer agents prioritise and explain findings. AI autofix: Remediation Helper and Patch Orchestrator drive fixes via workflow; code-level auto-PR generation across third-party scanners is limited/unverified. AI agents: Anya agentic AI workforce (named above). MCP / IDE-agent: not verified on fetched pages. AI code governance: AI risk category in exposure management (details unverified). AI-SPM: partial (AI risk findings ingestion). NL query: Anya conversational interface. Model: vendor-hosted; BYO-LLM not documented. On-prem AI: none documented.</t>
  </si>
  <si>
    <t xml:space="preserve">https://www.armorcode.com/</t>
  </si>
  <si>
    <t xml:space="preserve">AI triage: Polaris risk prioritisation; SRM dedup/summarisation; AI findings from Signal managed alongside deterministic results in Polaris (Sept 2026). AI autofix: Black Duck Assist in Code Sight IDE plugin (suggested fixes, real-time flagging); Signal targets autonomous remediation with PR-driven workflows now extended to self-hosted SCMs (auto-PR scope still not fully verified). AI agents: Black Duck Signal ('agentic application security for AI-powered software development'), six configurable agents with per-agent LLM configuration. MCP / IDE-agent: Black Duck Signal listed as an MCP server in the Claude Directory (Sept 2026, per PR Newswire); wider IDE-agent list not verified. AI code governance: flags AI-generated code for vulnerabilities and IP infringement; AI model detection in SBOM. AI-SPM: partial (AI model inventory). NL query: via Signal MCP server (unverified depth). Model: Black Duck-managed endpoints or bring-your-own LLM infrastructure (BYO-LLM GA Sept 2026). On-prem AI: yes via BYO-LLM configuration (customer-hosted model endpoints).</t>
  </si>
  <si>
    <t xml:space="preserve">https://www.blackduck.com/blog/polaris-september-2026-update.html</t>
  </si>
  <si>
    <t xml:space="preserve">AI triage: Triage Assist (attackability ranking). AI autofix: Remediation Assist generates merge-ready fixes across SAST/SCA (Safe Refactor for package upgrades); Developer Assist rescans to verify fix. AI agents: 'Checkmarx One Assist' agent family (Developer Assist, Triage Assist, Remediation Assist, Checkmarx MCP Agent), 'self-healing' loop announced July 2026. MCP / IDE-agent: Checkmarx MCP server exposes scanning to MCP-compatible tools and coding agents (Cursor, Copilot, Windsurf, Claude Code claimed in launch material; page verified only says 'MCP-compatible AI tools'). AI code governance: AI Inventory/AI-BOM, LLM scanner, shadow-AI asset visibility (June 2026). AI-SPM: partial (AI asset inventory in supply chain, not full runtime AI-SPM). NL query: via MCP/assistant. Model: vendor-hosted LLMs; Checkmarx Fusion pairs the deterministic engine with Claude models and Checkmarx is listed on the Claude Marketplace (Oct 15, 2026, per vendor); Checkmarx joined Anthropic Project Glasswing Sept 2026 and participates in Anthropic's Cyber Verification Program; BYO-LLM not publicly documented. On-prem AI: not publicly documented.</t>
  </si>
  <si>
    <t xml:space="preserve">https://checkmarx.com/product/developer-assist/</t>
  </si>
  <si>
    <t xml:space="preserve">AI triage: n/a. AI autofix: n/a (prevention at generation time). AI agents: design-time AI agents (marketed). MCP / IDE-agent: Kura connects to existing coding agents with a single-click integration (vendor claim, Aug 2026; protocol not confirmed). AI code governance: partial (task-scoped security context for agents). AI-SPM: none. Model: not disclosed.</t>
  </si>
  <si>
    <t xml:space="preserve">https://clover.security/news/</t>
  </si>
  <si>
    <t xml:space="preserve">AI triage: runtime confirmation reduces FPs; AI-assisted triage in managed service. AI autofix: SmartFix suggested fixes (unverified current name). AI agents: none named verified. MCP / IDE-agent: Contrast MCP server reported (unverified). AI code governance: none. AI-SPM: none. NL query: not verified. Model: vendor-hosted. On-prem AI: none.</t>
  </si>
  <si>
    <t xml:space="preserve">https://www.contrastsecurity.com/contrast-one</t>
  </si>
  <si>
    <t xml:space="preserve">AI triage: yes (claims 3x fewer FPs). AI autofix: auto-PR fixes. AI agents: autonomous scanning/fix agents; integrates with external AI agents. MCP / IDE-agent: Cursor and IDE plugins; MCP not explicitly verified. AI code governance: targets AI-generated code. AI-SPM: none. NL query: not verified. Model: vendor-hosted; BYO not documented.</t>
  </si>
  <si>
    <t xml:space="preserve">https://corgea.com/</t>
  </si>
  <si>
    <t xml:space="preserve">AI triage: AI-driven, context-aware risk insights. AI autofix: automated remediation playbooks and fix-at-source (details unverified). AI agents: Cortex agentic capabilities (Cortex AgentiX) apply across the platform; AppSec-specific named agents not verified. MCP / IDE-agent: not verified. AI code governance: not verified. AI-SPM: yes (Prisma AIRS / AI Runtime Security separately; AI-SPM in Cortex Cloud). NL query: Cortex copilot. Model: vendor-hosted; BYO none. On-prem AI: none.</t>
  </si>
  <si>
    <t xml:space="preserve">https://www.paloaltonetworks.com/cortex/cloud/application-security</t>
  </si>
  <si>
    <t xml:space="preserve">AI triage: Charlotte AI agentic prioritisation across Falcon; ASPM business-impact ranking. AI autofix: none verified. AI agents: Charlotte AI (agentic SOC, FedRAMP High Nov 2025); no AppSec-specific named agents. MCP / IDE-agent: Falcon MCP server exists for SOC use (unverified for ASPM). AI code governance: not verified. AI-SPM: yes (shadow AI, AI model inventory; Pangea acquisition announced Sept 2026 to secure enterprise AI layers). NL query: Charlotte AI. Model: vendor-hosted; BYO none. On-prem AI: none.</t>
  </si>
  <si>
    <t xml:space="preserve">https://www.crowdstrike.com/en-us/platform/cloud-security/aspm/</t>
  </si>
  <si>
    <t xml:space="preserve">AI triage: Exploitability Agent confirms reachability; risk scoring on graph. AI autofix: Remediation Agent generates PR-ready fixes with reasoning (across native SAST/SCA/secrets; third-party findings unverified). AI agents: Maestro orchestrator; Exploitability Agent, Remediation Agent, Change Impact Analysis Agent, Graph Agent (NL queries over the ADLC). MCP / IDE-agent: Cycode MCP Server for Cursor/Copilot/Claude and other AI-native tools. AI code governance: ADSP covers AI coding-agent and MCP governance (marketed). AI-SPM: partial (AI usage in SDLC). NL query: Graph Agent. Model: vendor-hosted; BYO-LLM not documented. On-prem AI: none documented.</t>
  </si>
  <si>
    <t xml:space="preserve">https://cycode.com/</t>
  </si>
  <si>
    <t xml:space="preserve">AI triage: contextual reasoning. AI autofix: agent-native remediation (guidance; auto-PR unverified). AI agents: DeepScan Agent. MCP / IDE-agent: MCP for Claude Desktop, Cursor, Codex (verified on site). AI code governance: reviews AI-generated code; developer attribution. AI-SPM: none. NL query: natural-language policies. Model: frontier LLMs; BYO not documented. On-prem AI: none.</t>
  </si>
  <si>
    <t xml:space="preserve">https://dryrun.security/</t>
  </si>
  <si>
    <t xml:space="preserve">AI triage: reachability plus AI SAST dataflow. AI autofix: Endor Patches and remediation workflows with codebase context; auto-PR upgrades. AI agents: AI Security Review agent (PR), AI SAST agents. MCP / IDE-agent: MCP servers for Claude, Cursor, VS Code (verified). AI code governance: yes, GA (agents, models, MCP servers, skills). AI-SPM: partial (AI code/model governance rather than runtime). NL query: via MCP and AI Chat. Model: vendor-hosted (multiple frontier models); BYOK in private beta (Oct 14, 2026) routes AI SAST and AI Chat requests through the Endor Labs AI Gateway to the customer's own OpenAI, Azure OpenAI, Gemini or Vertex AI account, all-or-nothing with no fallback; Anthropic and Bedrock not listed. On-prem AI: not documented (BYOK is customer-cloud, not on-prem).</t>
  </si>
  <si>
    <t xml:space="preserve">https://www.endorlabs.com/learn/byok-for-endor-labs</t>
  </si>
  <si>
    <t xml:space="preserve">AI triage: AI-validated exploitability. AI autofix: suggested code snippets. AI agents: agentic pentesting agents (marketed). MCP / IDE-agent: not verified. AI code governance: none. AI-SPM: LLM/API endpoint testing (partial). NL query: not verified. Model: vendor-hosted. On-prem AI: none.</t>
  </si>
  <si>
    <t xml:space="preserve">https://escape.tech/</t>
  </si>
  <si>
    <t xml:space="preserve">AI triage: Copilot-based alert explanations; AI-powered generic secret detection, now with a purpose-built model for leaked secret detection (Oct 7, 2026); AI Scan for pull requests GA (Oct 15, 2026) with enablement status and metrics in security overview. AI autofix: Copilot Autofix generates fixes for CodeQL alerts and third-party SARIF alerts (suggested in PR); agentic autofix GA on GitHub Enterprise Cloud (Oct 15, 2026): explores the codebase, proposes a fix, reruns CodeQL to validate and opens a draft PR, assignable per alert, in batches of up to 25 or via REST API, default-branch alerts only, opt-in via enterprise policy plus org/repo setting, billed in AI Credits from the Code Security budget plus Actions minutes; it also remediates Code Quality findings (Sept 2026) and, when Copilot Memory is enabled, reuses and stores repository-specific fix patterns (Sept 25, 2026). AI agents: Copilot coding agent can be assigned security issues; 'Assign to Copilot' replaces the free 'Generate Fix' button when agentic autofix is enabled; no dedicated 'security agent' name verified. MCP / IDE-agent: GitHub MCP server exposes code scanning, secret scanning and Dependabot alerts to Copilot, Claude Code, Cursor and other MCP clients. AI code governance: Copilot usage metrics; AI-generated code labelling not verified. AI-SPM: none. NL query: via Copilot Chat. Model: OpenAI/Anthropic models via Copilot; BYO-LLM none. On-prem AI: none (GHES lacks Autofix parity; agentic autofix GA is Enterprise Cloud only per changelog).</t>
  </si>
  <si>
    <t xml:space="preserve">AI triage: n/a. AI autofix: deterministic engine (marketed as AI). AI agents: none named. MCP: unverified. AI code governance: none. AI-SPM: none.</t>
  </si>
  <si>
    <t xml:space="preserve">https://gomboc.ai/</t>
  </si>
  <si>
    <t xml:space="preserve">AI triage: Intelligent Finding Analytics (ML noise reduction, long-standing; DAST IFA) plus RapidFix agentic triage. AI autofix: RapidFix 'trusted fix recommendations' (suggested; auto-PR not verified). AI SAST: LLM-assisted detection of business-logic flaws configurable per scan (ASoC Sept 2026). AI agents: RapidFix described as agentic-AI driven; AI Assistant; no broader named agent family. MCP / IDE-agent: AppScan MCP server (GA per vendor page) enabling AI assistants to query findings; specific IDE-agent list not verified. AI governance: admins can enable/disable AI Assistant, RapidFix, AI SAST and DAST IFA individually with asset-group restrictions (Sept 2026). AI code governance: not verified. AI-SPM: none. NL query: yes via MCP server. Model: vendor-hosted; on-prem AI option not documented.</t>
  </si>
  <si>
    <t xml:space="preserve">https://help.hcl-software.com/appscan/ASoC/appseccloud_whats_new_cm.html</t>
  </si>
  <si>
    <t xml:space="preserve">AI triage: 'AI AppSec' scan optimisation and prioritisation. AI autofix: not verified. AI agents: Agentic Pentesting (automated attack simulation). MCP / IDE-agent: not verified. AI code governance: none. AI-SPM: none. NL query: not verified. Model: vendor-hosted. On-prem AI: none.</t>
  </si>
  <si>
    <t xml:space="preserve">https://www.invicti.com/product/aspm/</t>
  </si>
  <si>
    <t xml:space="preserve">AI triage: contextual analysis (is the vulnerable function used) in Xray/Advanced Security. AI autofix: limited (remediation guidance; auto-PR not core). AI agents: JFrog Fly and agentic release workflows marketed (unverified). MCP / IDE-agent: JFrog MCP server (developer and security tooling) and curated MCP Registry (verified on platform page). AI code governance: yes via AI Catalog (models, agent skills, MCP servers, AI-generated artifacts). AI-SPM: partial (model/agent supply chain). NL query: via MCP. Model: n/a. On-prem AI: self-managed platform supports on-prem AI artifact governance.</t>
  </si>
  <si>
    <t xml:space="preserve">https://jfrog.com/platform/</t>
  </si>
  <si>
    <t xml:space="preserve">AI triage: AI-based prioritisation (marketed). AI autofix: auto-remediation suggestions/PRs. AI agents: 'Jit AI agents' for AppSec marketed in 2025 (unverified). MCP / IDE-agent: not verified. AI code governance: none. AI-SPM: none. NL query: not verified. Model: vendor-hosted. On-prem AI: none.</t>
  </si>
  <si>
    <t xml:space="preserve">AI triage: autonomous prioritisation. AI autofix: agentic remediation (suggested and PR-based; scope across third-party scanners unverified); since Sept 2026 also dependency vulnerabilities: minimal safe version bump, lockfile regeneration, before and after rescan, PR opened only when verified (per vendor; ecosystems and GA status not stated). AI agents: 'Agentic AppSec' (no individually named agents verified). MCP / IDE-agent: Legit MCP server; VibeGuard integrates with Cursor, GitHub Copilot and other assistants. AI code governance: AI code discovery and governance (detects AI-generated code and AI usage in SDLC). AI-SPM: partial. NL query: via MCP. Model: vendor-hosted; BYO not documented. On-prem AI: none.</t>
  </si>
  <si>
    <t xml:space="preserve">AI triage: AI-assisted SAST classification and reachability. AI autofix: Renovate auto-PRs for dependencies; SAST fix suggestions. AI agents: none named verified. MCP / IDE-agent: not verified. AI code governance: partial (AI-BOM). AI-SPM: yes (Mend AI: model discovery, red teaming, guardrails). NL query: not verified. Model: vendor-hosted; BYO none. On-prem AI: none documented.</t>
  </si>
  <si>
    <t xml:space="preserve">https://www.mend.io/</t>
  </si>
  <si>
    <t xml:space="preserve">AI triage: none (relies on scanner). AI autofix: core product, auto-PR across multiple scanners. AI agents: fixer agent (marketed). MCP / IDE-agent: Mobb MCP server, VS Code/JetBrains/Cursor plugins (reported). AI code governance: Vibe Shield. AI-SPM: none. NL query: no. Model: hybrid deterministic + LLM; BYO not documented. On-prem AI: reported enterprise option, unverified.</t>
  </si>
  <si>
    <t xml:space="preserve">AI triage: yes (reported). AI autofix: auto-PR (reported). AI agents: Nullify AI security engineer. MCP / IDE-agent: unverified. AI code governance: partial. AI-SPM: none. Model: not disclosed.</t>
  </si>
  <si>
    <t xml:space="preserve">AI triage: Fortify Audit Assistant (ML-based auto-audit of SAST findings, mature). AI autofix: Remediation Aviator shows code fix suggestions for SAST (suggested, not auto-PR). AI agents: no named agent family verified on fetched pages. MCP / IDE-agent: not mentioned on fetched product page (unverified). AI code governance: not verified. AI-SPM: none. NL query: not verified. Model: vendor-hosted (OpenText Aviator stack); BYO-LLM and on-prem AI options marketed under OpenText Aviator for private deployments (unverified for Fortify specifically).</t>
  </si>
  <si>
    <t xml:space="preserve">https://www.opentext.com/products/application-security</t>
  </si>
  <si>
    <t xml:space="preserve">AI triage: cloud-context prioritisation. AI autofix: AI-driven remediation (suggested code/IaC fixes, PR creation reported). AI agents: Orca AI as reasoning engine for agents; named AppSec agents not verified. MCP / IDE-agent: Orca MCP server (verified). AI code governance: AI AppGen Security (shadow AI apps). AI-SPM: yes. NL query: yes (Orca AI). Model: vendor-hosted; BYO none. On-prem AI: none.</t>
  </si>
  <si>
    <t xml:space="preserve">https://orca.security/</t>
  </si>
  <si>
    <t xml:space="preserve">AI triage: contextual, evidence-based prioritisation with reachability across code and cloud. AI autofix: PR-based fixes (scope unverified). AI agents: OX Agentic Pentester; OX Cloud AIDR runtime detection and response for AI agents. MCP / IDE-agent: VibeSec embeds into AI editors; OX Cloud discovers and maps MCP servers; OX published research on 15,400+ MCP servers; own MCP server not verified. AI code governance: yes (VibeSec 'vibe coding governance', agent dependency vetting). AI-SPM: yes, OX Cloud Agentic Attack Surface Management inventories AI agents, models and MCP servers with runtime monitoring (GA Sept 2026). NL query: not verified. Model: vendor-hosted; BYO not documented. On-prem AI: none.</t>
  </si>
  <si>
    <t xml:space="preserve">https://www.ox.security/blog/ox-security-launches-ox-cloud-ai-agent-security/</t>
  </si>
  <si>
    <t xml:space="preserve">AI triage: Hunt-Judge-Verify exploit verification; threat-intel scoring. AI autofix: agentic PR fixes for SAST and SCA (holistic upgrade plans), human approval required. AI agents: Purple (code analysis), Green (remediation), Blue (threat intel). MCP / IDE-agent: open-source Phoenix MCP server (15 read, 19 write tools, read-only mode) for Claude Code, Cursor, Windsurf, ChatGPT and any MCP client, plus MIT CLI sharing one client library (Sept 2026). AI code governance: not verified. AI-SPM: none. NL query: via MCP. Model: vendor-hosted; BYO not documented. On-prem AI: none.</t>
  </si>
  <si>
    <t xml:space="preserve">https://phoenix.security/phoenix-cli-and-mcp-server/</t>
  </si>
  <si>
    <t xml:space="preserve">AI triage: yes (core, 2025 pivot). AI autofix: auto-PRs across supported scanners. AI agents: Pixeebot / Pixee AI engineer. MCP / IDE-agent: not verified. AI code governance: none. AI-SPM: none. NL query: no. Model: vendor-hosted LLMs plus deterministic codemods; BYO not documented. On-prem AI: reported, unverified.</t>
  </si>
  <si>
    <t xml:space="preserve">https://www.pixee.ai/</t>
  </si>
  <si>
    <t xml:space="preserve">AI triage: workflow prioritisation. AI autofix: none (workflow). AI agents: remediation-ops agents. MCP: unverified. AI code governance: none. AI-SPM: none.</t>
  </si>
  <si>
    <t xml:space="preserve">https://appsecsanta.com/aspm-tools</t>
  </si>
  <si>
    <t xml:space="preserve">AI triage: AI-powered prioritisation and risk scoring in AppRisk. AI autofix: DeepCode AI Fix (suggested, validated fixes in IDE/PR) for SAST; Evo 'Agentic AppSec' adds agentic remediation across SAST/SCA (Aug 2026). AI agents: Snyk Evo (Agent Security orchestration), Agentic Development Security (ADS: validates external tools before agents use them, governs agent behaviour), Continuous Offensive Security agents (AI pentesting/red teaming). MCP / IDE-agent: Snyk MCP server and Snyk Studio integrate with Cursor, Copilot, Claude Code, Windsurf and other coding agents (Studio verified; per-IDE list partly unverified). AI code governance: yes (secure-at-inception, AI-BOM, agent tool validation). AI-SPM: yes, GA ('centralised command centre' for AI apps), plus AI Model Risk Intelligence (Aug 2026). NL query: agentic chat. Model: vendor-managed LLMs; BYO-LLM not publicly documented. On-prem AI: none (SaaS only).</t>
  </si>
  <si>
    <t xml:space="preserve">https://snyk.io/platform/</t>
  </si>
  <si>
    <t xml:space="preserve">AI triage: policy-based, with AI/ML malware detection in Firewall. AI autofix: upgrade recommendations (auto-PR via integrations; limited); Pro+ adds validated upgrade-path suggestions and targeted remediation automation (per vendor, Oct 2026). AI agents: Guide steers agents; no autonomous agents. MCP / IDE-agent: Sonatype MCP Server (verified). AI code governance: AI model firewall, governs what AI agents pull; Pro+ screens AI model and MCP server requests from agents at intake (Oct 2026). AI-SPM: partial (model supply chain). NL query: via MCP. Model: n/a. On-prem AI: self-hosted governance.</t>
  </si>
  <si>
    <t xml:space="preserve">https://www.sonatype.com/</t>
  </si>
  <si>
    <t xml:space="preserve">AI triage: contextual prioritisation (historical). Others: none verified. Status post-redirect unknown.</t>
  </si>
  <si>
    <t xml:space="preserve">https://www.tromzo.com/</t>
  </si>
  <si>
    <t xml:space="preserve">AI triage: automated investigation and prioritisation in Risk Manager (contextual pre-investigation of each issue). AI autofix: Veracode Fix (suggested fixes for SAST findings, IDE and CLI; auto-PR options limited); Fix claims proprietary curated training data rather than generic LLM. AI agents: no named agent family verified on product pages as of Sept 2026 (Veracode has marketed 'agentic' capabilities in 2026; unverified). MCP / IDE-agent: MCP server not documented on fetched pages (unverified). AI code governance: not verified. AI-SPM: none. NL query: not verified. Model: proprietary Fix model; BYO-LLM none. On-prem AI: none.</t>
  </si>
  <si>
    <t xml:space="preserve">https://www.veracode.com/products/risk-manager/</t>
  </si>
  <si>
    <t xml:space="preserve">AI triage: graph-based attack-path prioritisation; AI detection engine for malicious AI-agent behaviour (Sept 2026). AI SAST: Wiz AI SAST (Public Preview, Oct 6, 2026) finds intent-dependent CWEs such as broken access control and IDOR and correlates them with runtime context; extends rather than replaces rules-based scanning (per vendor). AI autofix: Wiz Green agent auto-PRs for code/IaC issues; Dazz root-cause remediation. AI agents: Wiz Green, Wiz Red, Wiz Blue (named), available in Wiz for Gov from Oct 2026. MCP / IDE-agent: Wiz MCP server with WIN partners endpoint GA (Sept 22, 2026) for Claude Code, Cursor, GitHub Copilot and partner agents; IDE plugins for VS Code/JetBrains. AI code governance: partial. AI-SPM: yes (Wiz AI-SPM, AI inventory, model/agent discovery). NL query: yes (Wiz AI assistant). Model: vendor-agnostic harness (Atlas) that swaps in models including Google DeepMind cybermodels per vendor; specific models not named; BYO none. On-prem AI: none.</t>
  </si>
  <si>
    <t xml:space="preserve">https://www.wiz.io/blog/introducing-wiz-ai-sast</t>
  </si>
  <si>
    <t xml:space="preserve">AI triage: LLM reasoning with verification. AI autofix: auto-generated patches (PR). AI agents: scanning/fix agents (unnamed). MCP / IDE-agent: not verified. AI code governance: targets AI-generated code. AI-SPM: none. NL query: not verified. Model: frontier LLMs (vendor-hosted); BYO not documented. On-prem AI: not confirmed.</t>
  </si>
  <si>
    <t xml:space="preserve">https://zeropath.com/</t>
  </si>
  <si>
    <t xml:space="preserve">AI triage: AI-powered triage in commercial tiers (marketed). AI autofix: none. AI agents: automated attack simulation (Cart). MCP / IDE-agent: MCP Server support introduced in Faraday v5.21 (June 2026, per vendor release page). AI code governance: none. AI-SPM: none. NL query: via MCP-connected agents (implied, not verified).</t>
  </si>
  <si>
    <t xml:space="preserve">https://faradaysec.com/latest-release/</t>
  </si>
  <si>
    <t xml:space="preserve">AI triage: Vulnerability Explanation; Vulnerability Context Flow (auth, privilege, sensitive-data categorisation, 19.4); Security Analyst Agent analyses vulns and dismisses false positives; SAST and Secret false positive detection flows now also run on tracked non-default branches (19.5). AI autofix: Vulnerability Resolution creates merge requests with fixes for SAST findings (auto-MR, human review), also on tracked non-default branches (19.5). AI agents: GitLab Duo Agent Platform (GA for Premium/Ultimate on 18.8+; agents, flows, agentic chat; Security Analyst Agent named); Business Logic Security Analyzer flow finds authorization flaws such as BOLA and mass assignment (closed beta on GitLab.com, Ultimate, 19.5); /goal autonomous objective command in Duo CLI (public beta 19.4); Duo CLI auto mode runs tools without per-action approval (off by default, 19.5); flow builder (beta); trigger flows REST API GA (19.5). MCP / IDE-agent: GitLab MCP server GA for all tiers (19.5) exposing GitLab tools plus Agent Platform agents and flows, with toolset selection, tool-level governance (write/delete default 'Always Ask') and GitLab.com rate limits of 60 requests/min on Free and 600 on Premium/Ultimate; Duo in VS Code/JetBrains; external agents (Claude Code, Cursor, Codex) via MCP with sessions recorded in AI Governance (beta, 19.5). AI code governance: Duo usage analytics, per-user credit caps and usage attribution (19.4), subgroup-based Duo access restriction and admin-managed Duo CLI settings (19.5); AI-generated code detection not verified. AI-SPM: none. NL query: agentic chat; Duo in Slack (experimental). Model: multi-model with selection (Claude Sonnet 4 default, GPT-5-mini, Claude Haiku, plus GitLab-hosted open-weight Kimi K3, MiniMax M3, GLM 5.3 at up to 4x more calls per credit); BYO/self-hosted LLM on self-managed, with per-model IAM roles for Bedrock (19.5). On-prem AI: yes (self-hosted models, GitLab Duo Self-Hosted).</t>
  </si>
  <si>
    <t xml:space="preserve">https://docs.gitlab.com/releases/19/gitlab-19-5-released/</t>
  </si>
  <si>
    <t xml:space="preserve">AI triage: Pro offers AI-assisted prioritisation/enrichment (details unverified). AI autofix: none. AI agents: 'Sensei' capability family in Pro now includes AI Agent Red Teaming and Sensei CSPM (Pro changelog Sept 2026; depth unverified). MCP / IDE-agent: DefectDojo MCP server reported in Pro (unverified). AI code governance: none. AI-SPM: partial via Sensei AI Agent Red Teaming (Pro). NL query: not verified. Model: n/a. On-prem AI: n/a.</t>
  </si>
  <si>
    <t xml:space="preserve">https://github.com/DefectDojo/django-DefectDojo</t>
  </si>
  <si>
    <t xml:space="preserve">AI triage: Semgrep Assistant (GA) with Memories. AI autofix: Assistant autofix (suggested fixes in PR comments; auto-PR optional); Autofix supports AWS Bedrock via Semgrep Multimodal settings. AI agents: Semgrep Agentic Workflows (security pipelines with AI; CSV export and run banners Sept 2026); Semgrep Guardian runs inside AI coding agents and now reports scan status there. MCP / IDE-agent: Semgrep MCP server (Cursor, Replit verified; Claude Code/Copilot supported via MCP). AI code governance: rules for AI-generated code patterns; Guardian for AI-written code; no dedicated governance module. AI-SPM: none. Supply chain: AI-assisted, expert-verified malware rules with automated response (GA Sept 2026). NL query: Assistant. Model: OpenAI/Anthropic hosted via Semgrep; Bedrock option for Autofix; BYO-LLM not standard. On-prem AI: none.</t>
  </si>
  <si>
    <t xml:space="preserve">https://semgrep.dev/</t>
  </si>
  <si>
    <t xml:space="preserve">AI triage: runtime-reachability prioritisation plus Sysdig Sage. AI autofix: limited (IaC PRs). AI agents: Sysdig Secure AI agentic mode for defined objectives. MCP / IDE-agent: Sysdig MCP server for agentic workflows (reported; unverified). AI code governance: none. AI-SPM: partial (AI workload detection). NL query: Sysdig Sage. Model: vendor-hosted; BYO none. On-prem AI: none documented.</t>
  </si>
  <si>
    <t xml:space="preserve">https://sysdig.com/</t>
  </si>
  <si>
    <t xml:space="preserve">SAST: tool landscape</t>
  </si>
  <si>
    <t xml:space="preserve">33 tools. Research cut-off 2026-10-19. Vendor-claimed items are labelled; unverified items say so. See OWASP Projects and Market Notes sheets for this category.</t>
  </si>
  <si>
    <t xml:space="preserve">#</t>
  </si>
  <si>
    <t xml:space="preserve">Product URL</t>
  </si>
  <si>
    <t xml:space="preserve">New entrant (2025-26)</t>
  </si>
  <si>
    <t xml:space="preserve">Deployment</t>
  </si>
  <si>
    <t xml:space="preserve">Language / ecosystem coverage</t>
  </si>
  <si>
    <t xml:space="preserve">Key features</t>
  </si>
  <si>
    <t xml:space="preserve">Integrations</t>
  </si>
  <si>
    <t xml:space="preserve">Sectors and reference customers (vendor-claimed)</t>
  </si>
  <si>
    <t xml:space="preserve">Analyst position</t>
  </si>
  <si>
    <t xml:space="preserve">Cons and known gaps</t>
  </si>
  <si>
    <t xml:space="preserve">Pricing model</t>
  </si>
  <si>
    <t xml:space="preserve">Indicative cost (USD, public)</t>
  </si>
  <si>
    <t xml:space="preserve">Pricing confidence</t>
  </si>
  <si>
    <t xml:space="preserve">Best fit for</t>
  </si>
  <si>
    <t xml:space="preserve">Recent updates (dated)</t>
  </si>
  <si>
    <t xml:space="preserve">Sources</t>
  </si>
  <si>
    <t xml:space="preserve">https://www.aikido.dev/</t>
  </si>
  <si>
    <t xml:space="preserve">No</t>
  </si>
  <si>
    <t xml:space="preserve">SaaS (EU/US regions) / On-prem scanning (Pro+) and full on-prem deployment (Enterprise); FedRAMP ATO listed on Advanced tier</t>
  </si>
  <si>
    <t xml:space="preserve">Opengrep-based SAST plus AI SAST: 30+ languages incl. Java, JS/TS, Python, Go, C#, PHP, Ruby, Kotlin, Swift, Rust, C/C++, Scala</t>
  </si>
  <si>
    <t xml:space="preserve">- All-in-one: SAST, SCA, secrets, IaC, container, CSPM, DAST, malware, licence in one console
- AI AutoFix (SAST and IaC) and AutoTriage noise reduction
- Free IDE plugin and free Developer tier
- Opengrep founding sponsor; own AI SAST layer
- Transparent published pricing and marketplace purchase
- Aikido Zen in-app runtime protection</t>
  </si>
  <si>
    <t xml:space="preserve">- IDE: VS Code, JetBrains, Cursor
- CI/CD: GitHub Actions, GitLab CI, Bitbucket, Azure DevOps, Jenkins, CircleCI
- SCM: GitHub, GitLab, Bitbucket, Azure DevOps
- Ticketing: Jira, Linear, Slack, Teams, Asana</t>
  </si>
  <si>
    <t xml:space="preserve">Vendor: 25,000+ organisations (site claim); named: Visma, Cargill, Vandelay (site); sectors: SaaS, fintech, scale-ups</t>
  </si>
  <si>
    <t xml:space="preserve">Not rated (not in Gartner MQ 2025 or Forrester SAST Wave 2025)</t>
  </si>
  <si>
    <t xml:space="preserve">- SAST depth relies on Opengrep pattern rules plus AI layer; no whole-program dataflow comparable to Coverity/Checkmarx
- Newer vendor; enterprise references and analyst coverage thin
- AI features metered by 'credits' on Pro/Advanced
- Seat bundles of 10 users; large orgs need Enterprise quote
- Breadth over depth: DAST, CSPM modules lighter than specialists</t>
  </si>
  <si>
    <t xml:space="preserve">Per user bundles (10 users) per month, platform bundle; free Developer tier</t>
  </si>
  <si>
    <t xml:space="preserve">Basic $300/month (10 users, ~$360/user/yr), Pro $600/month, Advanced from $600/month; Enterprise custom; 10% off annual (published Sep 2026)</t>
  </si>
  <si>
    <t xml:space="preserve">High</t>
  </si>
  <si>
    <t xml:space="preserve">Mid-market and scale-ups that want one affordable console with AI autofix and transparent pricing; consulting teams servicing SMB clients</t>
  </si>
  <si>
    <t xml:space="preserve">2026-09-22: [Feature launch] Aikido released Altar-1, an open-weight security model pruned from Z.AI GLM-5.3 (328 GB, runs on 4x H200 with vLLM) that powers the Aikido Machine autonomous pentest appliance fully on-prem/air-gapped; weights on Hugging Face. Not stated to power SAST AutoFix/AutoTriage.</t>
  </si>
  <si>
    <t xml:space="preserve">- https://www.aikido.dev/pricing
- https://www.aikido.dev/features/autofix
- https://www.aikido.dev/blog/launching-opengrep-why-we-forked-semgrep
- https://appsecsanta.com/aikido</t>
  </si>
  <si>
    <t xml:space="preserve">SaaS console with agents deployed into customer environment (VPC); AWS Marketplace listing; on-prem/air-gap unverified</t>
  </si>
  <si>
    <t xml:space="preserve">Uses Opengrep/Semgrep-compatible rules so broad language reach; AI fixer historically covered Python, JS/TS, Java, Go, Ruby, PHP (vendor, older material)</t>
  </si>
  <si>
    <t xml:space="preserve">- Security harness: engineers author custom detection agents tuned to codebase (CLI: amp detect create --agent)
- Opengrep rule authoring with AI
- One-click / automated remediation PRs for SAST and third-party findings (Semgrep, Snyk, CodeQL imports)
- Discovery, deployment, triage, fix and reporting in one console
- Opengrep founding sponsor</t>
  </si>
  <si>
    <t xml:space="preserve">- IDE: not documented
- CI/CD: GitHub Actions, GitLab CI
- SCM: GitHub, GitLab
- Ticketing: Jira, Slack (vendor: 'source control, CI/CD, cloud, ticketing')</t>
  </si>
  <si>
    <t xml:space="preserve">Case study claim: 'two detection engineers now cover what took a team of eight'; named customers not disclosed; G2 4.9/5 on 11 reviews</t>
  </si>
  <si>
    <t xml:space="preserve">Not rated</t>
  </si>
  <si>
    <t xml:space="preserve">- Very small vendor; limited references and no analyst coverage
- Pivoted positioning (code fixer to 'security harness') creates roadmap uncertainty
- Pricing undisclosed outside AWS Marketplace
- Depends on Opengrep engine maturity for detection depth
- Limited IDE presence</t>
  </si>
  <si>
    <t xml:space="preserve">Platform subscription (AWS Marketplace / quote)</t>
  </si>
  <si>
    <t xml:space="preserve">Not publicly disclosed</t>
  </si>
  <si>
    <t xml:space="preserve">Security engineering teams that want to codify their own detections and auto-remediation over Opengrep and existing scanners</t>
  </si>
  <si>
    <t xml:space="preserve">- https://amplify.security/
- https://aws.amazon.com/marketplace/pp/prodview-mj7b22bmjhupe
- https://blogs.amplify.security/blog/ai-appsec-vendors-auto-fix-code
- https://www.opengrep.dev/</t>
  </si>
  <si>
    <t xml:space="preserve">Yes</t>
  </si>
  <si>
    <t xml:space="preserve">SaaS (pipelineless, SCM-connected); on-prem not documented</t>
  </si>
  <si>
    <t xml:space="preserve">Not enumerated on site; deterministic engine covers mainstream languages (unverified)</t>
  </si>
  <si>
    <t xml:space="preserve">- Pipelineless scanning of every push/branch
- Deterministic SAST plus multi-agent AI reasoning for logic and access-control flaws
- Arnie AI code protector; agentic rules injected into Copilot, Cursor, Claude, Gemini
- SCA, IaC, secrets (auto-mitigation), container mapping
- Slack/Teams developer workflows
- 100+ customers claimed</t>
  </si>
  <si>
    <t xml:space="preserve">- IDE: via coding agents
- CI/CD: pipelineless
- SCM: GitHub, Azure DevOps, GitLab, Bitbucket (vendor)
- Ticketing: Jira, Azure Boards, Slack, Teams</t>
  </si>
  <si>
    <t xml:space="preserve">Named: NetApp, NCR Voyix, Qualtrics</t>
  </si>
  <si>
    <t xml:space="preserve">- Language coverage and benchmarks not published
- SaaS-only
- Pricing undisclosed
- Mid-size startup; roadmap breadth (ASPM plus AI SAST) may dilute depth
- Independent accuracy evidence absent</t>
  </si>
  <si>
    <t xml:space="preserve">Per developer (quote)</t>
  </si>
  <si>
    <t xml:space="preserve">Mid-market teams wanting pipelineless SAST/SCA/secrets with ChatOps-driven remediation and coding-agent guardrails</t>
  </si>
  <si>
    <t xml:space="preserve">- https://www.arnica.io/
- https://www.arnica.io/blog/top-6-ai-sast-tools-for-2026-the-quick-guide-to-agentic-static-application-security-testing</t>
  </si>
  <si>
    <t xml:space="preserve">https://www.blackduck.com/static-analysis-tools-sast/coverity.html</t>
  </si>
  <si>
    <t xml:space="preserve">On-prem (Coverity Connect) / SaaS (Polaris platform) / Hybrid; air-gap supported for Coverity on-prem; AI triage can run against customer-chosen LLM</t>
  </si>
  <si>
    <t xml:space="preserve">22+ languages incl. C/C++, C#, Java, JavaScript/TypeScript, Python, Go, Kotlin, Swift, Ruby, PHP, Scala, Rust (extended to Rust 1.92 in Jul 2026), Objective-C, VB.NET; 200+ frameworks; MISRA/CERT/AUTOSAR coding standards</t>
  </si>
  <si>
    <t xml:space="preserve">- Deep whole-program C/C++ analysis, industry standard in embedded/automotive/medical
- Coding standards and compliance (MISRA, CERT, CWE, ISO 26262, CRA-aligned checker option Jul 2026)
- Polaris SaaS unifies Coverity, Black Duck SCA, Continuous Dynamic
- Black Duck Assist (IDE AI assistant) and Signal (agentic AppSec for AI-generated code, Dec 2025 / Mar 2026)
- Coverity MCP server for AI coding agents
- Software Risk Manager ASPM
- Polaris central rule profiles and BYO-LLM Signal findings ingested as SARIF 'AI tool type' (Sep 2026)</t>
  </si>
  <si>
    <t xml:space="preserve">- IDE: VS Code, IntelliJ, Eclipse, Visual Studio (Code Sight)
- CI/CD: Jenkins, GitHub Actions, GitLab CI, Azure DevOps, Bamboo
- SCM: GitHub, GitLab, Bitbucket, Azure Repos incl. self-hosted GitHub Enterprise Server, GitLab self-managed, Azure DevOps Server, Bitbucket Server/DC PR workflows in Polaris (Sep 2026)
- Ticketing: Jira, ServiceNow</t>
  </si>
  <si>
    <t xml:space="preserve">Vendor sectors: automotive, embedded/ISV, financial services, medical devices, public sector; named customers not in 2025 PR (site cites e.g. Bosch, Siemens historically)</t>
  </si>
  <si>
    <t xml:space="preserve">Gartner MQ AST 2025: Leader (8th consecutive; highest Ability to Execute 6th year); Forrester Wave SAST Q3 2025: evaluated (placement not public; Leader in 2023 Wave)</t>
  </si>
  <si>
    <t xml:space="preserve">- Full Coverity scans are slow on large C/C++ builds; build-capture setup is heavy
- Polaris SaaS and Coverity on-prem have feature drift; consolidation still in progress after spin-out
- Pricing opaque and premium; per-LoC/per-app models hard to compare
- AI features fragmented across Assist, Signal and Coverity triage with staggered GA
- Private-equity ownership; product roadmap and support continuity questioned by users</t>
  </si>
  <si>
    <t xml:space="preserve">Per LoC / per application (Coverity on-prem); platform bundle (Polaris) per contributor or per app; custom</t>
  </si>
  <si>
    <t xml:space="preserve">Not publicly disclosed; third-party estimates typically $50k+/yr entry for enterprise Coverity</t>
  </si>
  <si>
    <t xml:space="preserve">Low</t>
  </si>
  <si>
    <t xml:space="preserve">Embedded, automotive, medical device and safety-critical C/C++ estates needing coding-standard compliance and on-prem/air-gap; not the fastest choice for web-app dev teams</t>
  </si>
  <si>
    <t xml:space="preserve">2026-09-23: [Feature launch] Polaris September 2026 update: bring-your-own-LLM for Signal AI code analysis (each of six agents can use a different provider/endpoint, results uploaded as SARIF under a new AI tool type), central rule-profile configuration enforced across CI/CLI, CWE Top 25 2024/2025 support, PR workflows for self-hosted GitHub/GitLab/Azure DevOps Server/Bitbucket DC, and async SCA alerts.</t>
  </si>
  <si>
    <t xml:space="preserve">- https://news.blackduck.com/2025-10-14-Black-Duck-Named-a-Leader-in-the-2025-Gartner-R-Magic-Quadrant-TM-for-Application-Security-Testing-for-Eighth-Consecutive-Time
- https://www.itsecurityguru.org/2026/07/14/black-duck-adds-ai-powered-triage-and-cra-ready-checks-to-coverity-static-analysis/
- https://news.blackduck.com/2026-03-23-Black-Duck-Signal-Sets-a-New-Standard-for-Securing-AI-Generated-Code
- https://www.prnewswire.com/news-releases/introducing-black-duck-signal-agentic-ai-application-security-for-modern-development-302637175.html</t>
  </si>
  <si>
    <t xml:space="preserve">https://checkmarx.com/product/cxone-sast/</t>
  </si>
  <si>
    <t xml:space="preserve">SaaS (multi-tenant) / Single-tenant hosted; legacy CxSAST on-prem being migrated to Checkmarx One (air-gap: unverified for Checkmarx One)</t>
  </si>
  <si>
    <t xml:space="preserve">35+ languages / 80+ frameworks incl. Java, C#, JavaScript/TypeScript, Python, Go, PHP, Ruby, Kotlin, Swift, C/C++, Scala, Apex, COBOL, PL/SQL (vendor claim); AI SAST engine adds coverage for emerging and AI-generated languages (announced Mar 2026)</t>
  </si>
  <si>
    <t xml:space="preserve">- Query-language based SAST with customizable CxQL queries
- Incremental and diff scans
- Unified platform: SAST, SCA, IaC, API security, DAST, container, ASPM
- Developer Assist agent in IDE (Cursor, Windsurf, Copilot, VS Code, JetBrains)
- Best Fix Location and result grouping
- AI Supply Chain Security (AI-BOM, model/agent governance)
- Triage &amp; Remediation Assist agent: exploitability triage, suggested fixes, GitHub auto-PR, decision propagation across scans (Sep 2026, credit-metered)</t>
  </si>
  <si>
    <t xml:space="preserve">- IDE: VS Code, JetBrains, Visual Studio, Eclipse, Cursor, Windsurf
- CI/CD: Jenkins, GitHub Actions, GitLab CI, Azure DevOps, Bamboo, CircleCI, TeamCity
- SCM: GitHub, GitLab, Bitbucket, Azure Repos
- Ticketing: Jira, ServiceNow, Azure Boards
- Slack/Teams
- Marketplaces: Claude Marketplace listing for Fusion, Triage Assist and Remediation Assist (US customers, Oct 2026)</t>
  </si>
  <si>
    <t xml:space="preserve">Vendor claims 850+ enterprise customers; named: Best Buy (Gartner PR 2025); sectors: financial services, healthcare, government, telecom, retail (vendor site)</t>
  </si>
  <si>
    <t xml:space="preserve">Gartner MQ AST 2025: Leader (7th time, furthest on Completeness of Vision; Oct 2025); Forrester Wave SAST Q3 2025: Leader (highest Current Offering score)</t>
  </si>
  <si>
    <t xml:space="preserve">- Historically high false-positive volume without tuning; AI triage is the mitigation but is an Enterprise/add-on cost
- Pricing opaque, sales-led; Vendr median ~$61k/yr with wide range
- Remediation Assist and AI SAST are add-ons to Essentials/Professional editions
- Full on-prem/air-gap only via legacy CxSAST; Checkmarx One is cloud-first
- Private-equity owned; platform sprawl and licensing complexity reported by users
- AI triage/remediation actions consume Checkmarx Credits; burn rate must be monitored and credit pricing is not published</t>
  </si>
  <si>
    <t xml:space="preserve">Platform bundle, per developer (contributing developer) with module add-ons; editions Essentials / Professional / Enterprise; Triage &amp; Remediation Assist actions metered in Checkmarx Credits (Sep 2026); Fusion, Triage Assist and Remediation Assist can also be bought with committed Anthropic spend via the Claude Marketplace (US, Oct 2026)</t>
  </si>
  <si>
    <t xml:space="preserve">Not published. Vendr: median $60,950/yr, range $26,400 to $205,350/yr (Checkmarx One contracts); roughly $600 to $1,500 per dev/yr implied at mid-market volumes (third-party estimate)</t>
  </si>
  <si>
    <t xml:space="preserve">Medium</t>
  </si>
  <si>
    <t xml:space="preserve">Large enterprises wanting a single AST platform with mature SAST, strong analyst standing, and agentic remediation; consulting teams delivering multi-client managed AppSec on one console</t>
  </si>
  <si>
    <t xml:space="preserve">2026-10-15: [Feature launch] Checkmarx joined the Claude Marketplace: US Anthropic customers can apply committed Anthropic spend to Checkmarx Fusion, Triage Assist and Remediation Assist (all delivered through Checkmarx One) under a single Anthropic invoice, purchased via their Anthropic account team or Checkmarx. The press release does not state an integration method (MCP, plugin) or GA/preview status.
2026-09-17: [Feature launch] Checkmarx introduced the Triage &amp; Remediation Assist agent in Checkmarx One: Triage Assist scores reachability/exploitability, Remediation Assist generates fixes and can open GitHub pull requests, triage decisions auto-propagate to identical findings in later scans, and usage is metered in Checkmarx Credits (vendor claims up to 95% faster MTTR).</t>
  </si>
  <si>
    <t xml:space="preserve">- https://checkmarx.com/blog/checkmarx-named-a-leader-for-the-7th-time-in-the-2025-gartner-magic-quadrant-for-application-security-testing/
- https://www.businesswire.com/news/home/20251008500376/en/Checkmarx-Named-a-Leader-in-the-2025-Gartner-Magic-Quadrant-for-Application-Security-Testing-for-Seventh-Time
- https://checkmarx.com/blog/checkmarx-named-a-leader-in-the-forrester-wave-static-application-security-testing-solutions-q3-2025/
- https://www.globenewswire.com/news-release/2026/03/16/3256259/0/en/Checkmarx-Redefines-Application-Security-for-the-Age-of-Agentic-Development.html
- https://www.vendr.com/marketplace/checkmarx
- https://docs.checkmarx.com/en/34965-201743-deployment-guide.html</t>
  </si>
  <si>
    <t xml:space="preserve">SaaS; self-hosted CodeRabbit available for Enterprise (Security add-on availability self-hosted unverified)</t>
  </si>
  <si>
    <t xml:space="preserve">Language-agnostic LLM review across major languages (not enumerated)</t>
  </si>
  <si>
    <t xml:space="preserve">- Agentic analysis tracing exploitable paths across files, services and trust boundaries
- Detects IDOR, prompt injection, business-logic flaws, injection chains, SSRF, race conditions
- Verification engine (reachability, exploitability, blast radius) to cut FPs
- Drafts fixes as PRs
- Scheduled deep scans plus PR-time monitoring
- Dependency vulnerability scanning
- Sits on the most-installed AI review app (17k+ customers, 6M repos)</t>
  </si>
  <si>
    <t xml:space="preserve">- IDE: VS Code, Cursor, Windsurf extension
- CI/CD: PR-based
- SCM: GitHub, GitLab, Azure DevOps, Bitbucket
- Ticketing: Jira, Linear</t>
  </si>
  <si>
    <t xml:space="preserve">Named (CodeRabbit overall): NVIDIA, Indeed, Adyen, JFrog, BMW, Swiggy, Visma, Trivago, Groupon, Clerk</t>
  </si>
  <si>
    <t xml:space="preserve">- Security is a usage-priced add-on with no published rate
- No deterministic rule engine or compliance mappings (OWASP/CWE reports unverified)
- Nondeterministic LLM findings
- Launch date not disclosed; product is months old
- Data leaves to vendor LLMs (self-hosted option unclear for Security)</t>
  </si>
  <si>
    <t xml:space="preserve">Per developer for code review ($24 / $48 / $72 per dev/month annual); Security add-on usage-based</t>
  </si>
  <si>
    <t xml:space="preserve">Code review $288 to $864 per dev/yr list; Security add-on not publicly disclosed</t>
  </si>
  <si>
    <t xml:space="preserve">High (review) / None (security add-on)</t>
  </si>
  <si>
    <t xml:space="preserve">Teams already using CodeRabbit that want reasoning-based security review of PRs alongside a deterministic SAST</t>
  </si>
  <si>
    <t xml:space="preserve">2026-09-15: [Feature launch] CodeRabbit Triage: cross-repository pull request queue ranking work P0-P3 by severity, linked-issue priority and blocked dependencies with evidence-based explanations (general code review feature, not security-specific).</t>
  </si>
  <si>
    <t xml:space="preserve">- https://www.coderabbit.ai/security
- https://www.coderabbit.ai/pricing
- https://www.coderabbit.ai/</t>
  </si>
  <si>
    <t xml:space="preserve">https://www.contrastsecurity.com/contrast-scan</t>
  </si>
  <si>
    <t xml:space="preserve">SaaS (primary) / On-prem (Enterprise-on-Premises for Assess, limited); air-gap: limited/unverified for Scan</t>
  </si>
  <si>
    <t xml:space="preserve">Contrast Scan: Java, .NET, JavaScript/TypeScript, Python, Go, Kotlin, Ruby, PHP, C# (SAST); Assess IAST: Java, .NET, Node.js, Python, Ruby, Go, PHP; SmartFix: Java, .NET Core/Framework, Node.js, Python</t>
  </si>
  <si>
    <t xml:space="preserve">- Runtime-first: IAST (Assess) and ADR (runtime detection/response) as differentiators
- Contrast Scan pipeline-native SAST with binary/bytecode scanning
- Contrast Graph: runtime-powered application digital twin for prioritisation (Contrast Score)
- AI SmartFix: BYO-LLM auto-remediation PRs via GitHub Actions
- Northstar unified platform (Jun 2025)
- Contrast One managed service</t>
  </si>
  <si>
    <t xml:space="preserve">- IDE: VS Code, IntelliJ, Visual Studio, Eclipse
- CI/CD: Jenkins, GitHub Actions, GitLab CI, Azure DevOps
- SCM: GitHub, GitLab, Bitbucket, Azure Repos
- Ticketing: Jira, ServiceNow, Slack, Splunk/SIEM for ADR</t>
  </si>
  <si>
    <t xml:space="preserve">Vendor sectors: financial services, healthcare, government; named customers not in 2025 MQ blog</t>
  </si>
  <si>
    <t xml:space="preserve">Gartner MQ AST 2025: Visionary; Forrester Wave SAST Q3 2025: not evaluated</t>
  </si>
  <si>
    <t xml:space="preserve">- SAST (Scan) is the junior product; value is in IAST/ADR, which requires agent deployment in running apps
- Narrower language coverage than SAST leaders (no C/C++, COBOL)
- SmartFix requires GitHub and customer LLM; limited to 4-5 languages
- SaaS-first; on-prem options limited
- Pricing per app/per server opaque; third-party median ~$36k/yr</t>
  </si>
  <si>
    <t xml:space="preserve">Per application / per server (agents), platform bundle (Northstar); Contrast One managed tier; custom</t>
  </si>
  <si>
    <t xml:space="preserve">Not publicly disclosed; third-party median ~$36,000/yr</t>
  </si>
  <si>
    <t xml:space="preserve">Java/.NET-heavy enterprises that want runtime-verified findings (IAST) plus SAST for pipelines, and a managed option (Contrast One) for lean security teams</t>
  </si>
  <si>
    <t xml:space="preserve">- https://www.contrastsecurity.com/security-influencers/visionary-2025-gartner-magic-quadrant-for-application-security-testing
- https://docs.contrastsecurity.com/en/contrast-ai-smartfix.html
- https://www.helpnetsecurity.com/2025/06/09/contrast-security-northstar/
- https://appsecsanta.com/application-security/appsec-pricing-guide</t>
  </si>
  <si>
    <t xml:space="preserve">SaaS; on-prem/self-hosted not listed (unverified)</t>
  </si>
  <si>
    <t xml:space="preserve">20+ languages and frameworks (vendor) incl. Python, JS/TS, Java, Go, C#, Ruby, PHP, Kotlin, Swift, C/C++</t>
  </si>
  <si>
    <t xml:space="preserve">- BLAST: AI-native SAST combining static analysis, project context, reachability, framework understanding and LLM reasoning (business-logic flaws)
- Auto-triage of own and third-party findings (imports Snyk, Semgrep, Checkmarx etc.) with up to 90% noise reduction claim
- AI autofix with PR generation and &gt;90% fix-accuracy claim; ranked first in Latio autofix report (vendor cites)
- IDE, PR, CI/CD, MCP integrations
- Also SCA, secrets, IaC, containers
- File include rules and CycloneDX SBOM export (Sep 2026)
- Per-CWE SAST finding tracking with independent triage history, Vulnerabilities Workbench with bulk triage, CLI --project-name for multiple projects per repo (Oct 2026)
- AI pentesting (beta) and triage approvals (Q3 2026)</t>
  </si>
  <si>
    <t xml:space="preserve">- IDE: VS Code, JetBrains
- CI/CD: GitHub Actions, GitLab CI, Azure DevOps, Jenkins
- SCM: GitHub, GitLab, Azure DevOps, Bitbucket
- Ticketing: Jira, Slack</t>
  </si>
  <si>
    <t xml:space="preserve">Not publicly disclosed in verified sources</t>
  </si>
  <si>
    <t xml:space="preserve">- Startup scale; limited enterprise references and no analyst coverage
- Vendor-published benchmarks only (Jul 2026: 89% recall, 82% precision on 47 issues)
- No on-prem
- Pricing is quote-only after trial
- Compliance/reporting depth (PCI, ISO mappings) unproven</t>
  </si>
  <si>
    <t xml:space="preserve">Per developer subscription (quote); free trial</t>
  </si>
  <si>
    <t xml:space="preserve">Not publicly disclosed (third-party listings suggest low-hundreds USD per dev/yr; Low confidence)</t>
  </si>
  <si>
    <t xml:space="preserve">Teams wanting an AI triage and autofix layer over existing scanners, or a lightweight AI SAST for modern web stacks</t>
  </si>
  <si>
    <t xml:space="preserve">2026-10-08: [Release] Corgea changelog (releases 1 to 6 Oct 2026): different CWEs on the same code statement are now tracked as separate SAST findings with independent triage decisions and history, incremental scans preserve accepted-risk expiry, assignees, due dates and SLA status, finding fingerprints were made more stable, automatic triage rules now apply to carried-forward findings; Vulnerabilities Workbench gets the standard filter bar, bulk assignment and FP decisions; CLI --project-name supports multiple projects sharing one repository; CxOne triage imports and report uploads keep CWEs separate; autofix generation no longer loops when a saved fix cannot load.
2026-10-08: [Feature launch] Corgea Q3 2026 product update summarises 52 releases shipped in the quarter: AI pentesting (beta), the Vulnerabilities Workbench, triage approvals and governance, supply chain controls and MCP support (vendor roundup).
2026-09-24: [Release] Corgea changelog: file include rules (glob) to scan normally-skipped paths, guided pentest target setup with multi-account/TOTP login, on-demand CycloneDX SBOM export, faster Vulnerabilities Workbench and lower GitHub API use on PR scans.
2026-09-17: [Release] Corgea changelog: Agent promoted to top-level navigation, daily admin digest of agent learning recommendations, Advanced Vulnerability Search extended to SCA/container/IaC findings, PR creation restored for CLI and IDE scans.</t>
  </si>
  <si>
    <t xml:space="preserve">- https://corgea.com/auto-triage
- https://corgea.com/blog/top-ai-sast-tools-for-2026/
- https://corgea.com/learn/best-sast-tools
- https://toolradar.com/tools/corgea</t>
  </si>
  <si>
    <t xml:space="preserve">https://cursor.com/bugbot</t>
  </si>
  <si>
    <t xml:space="preserve">SaaS (Cursor cloud, GitHub app)</t>
  </si>
  <si>
    <t xml:space="preserve">Language-agnostic LLM review (not enumerated)</t>
  </si>
  <si>
    <t xml:space="preserve">- PR-time security review launched 23 Sep 2026 for Teams and Enterprise
- Traces user input through code to find SQL/command/template injection, authn/authz bypass, SSRF, unsafe deserialisation, unvalidated redirects, committed secrets, dependency vulns
- Each finding has severity, attack path and proposed fix
- Dismiss-with-reason suppresses re-raising
- Custom enforcement rules in natural language
- Bugbot retains style/quality review</t>
  </si>
  <si>
    <t xml:space="preserve">- IDE: Cursor
- CI/CD: PR checks
- SCM: GitHub (GitLab unverified)
- Ticketing: none native</t>
  </si>
  <si>
    <t xml:space="preserve">Not disclosed for Security Review; Bugbot used by 'thousands of teams' (vendor)</t>
  </si>
  <si>
    <t xml:space="preserve">- Days old (Sep 2026); no benchmarks
- Consumes usage credits; cost per PR not published
- Cursor-only ecosystem, GitHub-first
- No compliance reporting, SBOM, or dashboards
- Not a substitute for enterprise SAST evidence</t>
  </si>
  <si>
    <t xml:space="preserve">Usage credits within Cursor Teams ($40/user/month) and Enterprise plans</t>
  </si>
  <si>
    <t xml:space="preserve">Included via credits; trial credits at launch; net cost not publicly disclosed</t>
  </si>
  <si>
    <t xml:space="preserve">Cursor-standardised engineering teams wanting a lightweight security gate on PRs before enterprise SAST</t>
  </si>
  <si>
    <t xml:space="preserve">2026-09-23: [Feature launch] Cursor launched Security Review (with Rollouts) for Teams and Enterprise: reads each PR in codebase context and posts one review comment listing exploitable bugs (injection, authn/authz bypass, SSRF, unsafe deserialisation, committed secrets, vulnerable dependencies) with severity, attack path and proposed fix; Bugbot keeps style/quality.</t>
  </si>
  <si>
    <t xml:space="preserve">- https://cursor.com/changelog
- https://cursor.com/bugbot</t>
  </si>
  <si>
    <t xml:space="preserve">https://www.dryrun.security/</t>
  </si>
  <si>
    <t xml:space="preserve">SaaS (GitHub/GitLab app); self-hosted: not publicly offered (unverified)</t>
  </si>
  <si>
    <t xml:space="preserve">Python, Ruby, TypeScript, JavaScript, Java, Go, C#, C++, PHP, HTML, Elixir, Kotlin, Swift, Scala (vendor list)</t>
  </si>
  <si>
    <t xml:space="preserve">- Contextual Security Analysis: LLM agents reason about code intent and cross-file/service dataflow on every PR
- Custom Policy Agent: security rules written in plain English (no regex/YAML)
- Codebase Intelligence for repo-wide context
- Slack, GitHub, GitLab native
- MCP integration for Claude Code, Cursor, Codex
- Vendor claims ~90% fewer FPs than legacy SAST</t>
  </si>
  <si>
    <t xml:space="preserve">- IDE: via MCP (Cursor, Claude Code, Codex)
- CI/CD: PR-based (GitHub App, GitLab)
- SCM: GitHub, GitLab
- Ticketing: Slack; Jira not confirmed</t>
  </si>
  <si>
    <t xml:space="preserve">Named (site): Cloudera, Flex, Dematic, Invisible, Zepto, SimpleRose, Tines, Gusto, PlanetArt; sectors: SaaS, fintech, logistics</t>
  </si>
  <si>
    <t xml:space="preserve">- LLM-only detection: nondeterministic results, harder to audit for compliance evidence
- No self-hosted option; code is sent to vendor LLM pipeline
- No Bitbucket/Azure DevOps support listed
- Pricing not published
- Small vendor (seed/Series A scale per Crunchbase); acquisition or viability risk</t>
  </si>
  <si>
    <t xml:space="preserve">Per developer / per repo subscription (custom)</t>
  </si>
  <si>
    <t xml:space="preserve">Cloud-native product teams on GitHub/GitLab wanting low-noise PR review and natural-language policies; a complement to deterministic SAST, not a compliance replacement</t>
  </si>
  <si>
    <t xml:space="preserve">- https://www.dryrun.security/product/sast
- https://www.dryrun.security/blog/top-ai-sast-tools-2026
- https://www.g2.com/products/dryrun-security/reviews
- https://www.crunchbase.com/organization/dryrun-security</t>
  </si>
  <si>
    <t xml:space="preserve">https://www.endorlabs.com/use-case/sast</t>
  </si>
  <si>
    <t xml:space="preserve">SaaS; scans run via endorctl in customer CI (code stays local); on-prem/air-gap: not publicly offered (unverified)</t>
  </si>
  <si>
    <t xml:space="preserve">AI SAST: 40+ languages for NL-defined checks (vendor); deterministic engines (CodeQL, Opengrep-based) cover mainstream languages: Java, JS/TS, Python, Go, C#, Ruby, PHP, Kotlin, Swift, Rust, C/C++</t>
  </si>
  <si>
    <t xml:space="preserve">- Multi-modal AI SAST: LLM detection agents plus triage agents (syntax/dataflow validation) plus remediation agents, built on Endor Code API/call graphs
- Natural-language custom checks
- AI Code Security Review on PRs
- Reachability-based SCA (core product), malicious package detection, container, SBOM/VEX
- AI Coding Agent Governance and Package Firewall
- Opengrep founding sponsor
- BYOK for AI SAST and AI Chat via Endor AI Gateway (OpenAI, Azure OpenAI, Gemini, Vertex AI; private beta Oct 2026)</t>
  </si>
  <si>
    <t xml:space="preserve">- IDE: VS Code, JetBrains, Cursor (MCP)
- CI/CD: GitHub Actions, GitLab CI, Jenkins, Azure DevOps, CircleCI
- SCM: GitHub, GitLab, Azure DevOps, Bitbucket
- Ticketing: Jira, Slack, webhooks</t>
  </si>
  <si>
    <t xml:space="preserve">Named (SCA): Atlassian, Cursor, Dropbox, OpenAI, Robinhood, Snowflake; sectors: technology, fintech</t>
  </si>
  <si>
    <t xml:space="preserve">Not rated in Gartner MQ AST 2025 or Forrester SAST Wave 2025 (Endor is in Forrester SCA Wave)</t>
  </si>
  <si>
    <t xml:space="preserve">- SAST is new (late 2025); accuracy claims are vendor early-test figures, not independent
- No on-prem control plane
- Per-contributor pricing undisclosed; fair-use scan quotas for agentic workflows
- Strength is SCA/reachability; SAST maturity behind Checkmarx/Veracode for compliance reporting
- LLM detection nondeterminism; repeatability for audits unproven
- BYOK is private beta (Oct 2026) and limited to OpenAI, Azure OpenAI, Gemini and Vertex AI (no Anthropic or Bedrock); model usage then billed on the customer's own provider account</t>
  </si>
  <si>
    <t xml:space="preserve">Per contributing developer (90-day active) seats; Core / Pro tiers; free local AURI</t>
  </si>
  <si>
    <t xml:space="preserve">Not publicly disclosed (seat-based, volume discounts)</t>
  </si>
  <si>
    <t xml:space="preserve">Engineering-led organisations already using Endor for SCA that want AI SAST with natural-language policies and agent governance</t>
  </si>
  <si>
    <t xml:space="preserve">2026-10-14: [Feature launch] Endor Labs announced bring-your-own-key (BYOK) for AI SAST and AI Chat (private beta): customers run detection, triage and remediation requests through their own OpenAI, Azure OpenAI, Google Gemini or Vertex AI accounts via the Endor Labs AI Gateway, with keys stored encrypted in the platform or passed as environment variables at scan time, region selection for Azure and Vertex, a provider allowlist, tenant isolation and no fallback to Endor credentials. Anthropic and AWS Bedrock are not listed; pricing is not stated.
2026-10-12: [Feature launch] Endor Labs and Bright Security announced a partnership to connect vulnerability discovery with remediation (per the Endor Labs blog post title; details of the integration were not read).</t>
  </si>
  <si>
    <t xml:space="preserve">- https://www.prnewswire.com/news-releases/endor-labs-debuts-ai-native-multi-modal-sast-marking-a-new-era-in-code-flaw-detection-302619629.html
- https://www.endorlabs.com/pricing
- https://www.endorlabs.com/use-case/sast
- https://devops.com/endor-labs-forks-semgrep-to-opengrep-for-static-code-analysis/</t>
  </si>
  <si>
    <t xml:space="preserve">https://github.com/security/advanced-security</t>
  </si>
  <si>
    <t xml:space="preserve">SaaS (GitHub.com, Enterprise Cloud incl. EU data residency) / On-prem via GitHub Enterprise Server (Copilot Autofix availability on GHES limited; Code Quality not on GHES); air-gap possible for CodeQL CLI with manual bundle updates</t>
  </si>
  <si>
    <t xml:space="preserve">CodeQL: C/C++, C#, Go, Java/Kotlin, JavaScript/TypeScript, Python, Ruby, Swift, Rust, GitHub Actions workflows; Copilot Autofix subset covers C#, C/C++, Go, Java/Kotlin, Swift, JS/TS, Python, Ruby, Rust</t>
  </si>
  <si>
    <t xml:space="preserve">- CodeQL semantic dataflow analysis with open query language and community query packs
- Copilot Autofix suggestions on PRs and alerts (no Copilot licence needed)
- Security campaigns for backlog burn-down
- Native PR gating, SARIF upload for third-party scanners
- Secret Protection (separate SKU) and Dependabot
- GitHub Code Quality (GA Jul 2026, separate $10/committer SKU)
- AI Scan: AI-based PR vulnerability detection alongside CodeQL for languages CodeQL lacks (PHP, Bash, Terraform, Dockerfile, JSP, Blazor), advisory findings (GA 15 Oct 2026, metered in Code Security AI Credits)
- Agentic autofix: assign alerts to Copilot, fix validated by CodeQL re-run, draft PR, bulk up to 25 alerts, uses Copilot Memory (GA 15 Oct 2026 on Enterprise Cloud, AI Credits plus Actions minutes)</t>
  </si>
  <si>
    <t xml:space="preserve">- IDE: VS Code (CodeQL extension), JetBrains via Copilot
- CI/CD: GitHub Actions native; CodeQL CLI in Jenkins/Azure DevOps
- SCM: GitHub only (Azure DevOps has GHAzDO variant)
- Ticketing: Jira via marketplace apps, GitHub Issues</t>
  </si>
  <si>
    <t xml:space="preserve">Vendor: 90%+ of Fortune 100 use GitHub; GHAS customers cited include Mercado Libre, Telus, 3M (GitHub customer stories); sectors: technology, financial services, telecom, public sector</t>
  </si>
  <si>
    <t xml:space="preserve">Forrester Wave SAST Q3 2025: evaluated (one of 10 vendors; placement not stated in public sources, unverified); Gartner MQ AST 2025: not confirmed as included</t>
  </si>
  <si>
    <t xml:space="preserve">- GitHub-only SCM (GitLab/Bitbucket estates cannot use it)
- Autofix is non-deterministic; no AI triage or dismissal of CodeQL alerts; AI Scan findings are advisory only and cannot block merges, skip fork and Dependabot PRs
- AI Scan and agentic autofix consume Code Security AI Credits (rate not published) and agentic autofix needs Enterprise Cloud, an enterprise policy and a Copilot billing method; the free 'Generate Fix' option is replaced when agentic autofix is enabled
- GHES lags cloud on AI features (AI Scan and agentic autofix GHES availability not stated); Code Quality not on GHES
- Per-active-committer metering can spike costs on large monorepos; Code Security and Secret Protection now separate SKUs
- CodeQL language list narrower than Checkmarx/Fortify (no PHP, COBOL, ABAP), partly mitigated by AI Scan for PHP/Bash/Terraform</t>
  </si>
  <si>
    <t xml:space="preserve">Per active committer per month (metered); free for public repos; AI Scan and agentic autofix usage metered in Code Security AI Credits (SKU-level budgets, rate not published) plus Actions minutes for agentic autofix (Oct 2026)</t>
  </si>
  <si>
    <t xml:space="preserve">Code Security $30/active committer/month ($360/yr) list; Secret Protection $19/month; Code Quality $10/month plus usage-based AI billing (effective Apr 2025 / Jul 2026)</t>
  </si>
  <si>
    <t xml:space="preserve">GitHub-centric engineering organisations wanting zero-friction SAST in PRs with transparent per-committer pricing and an open query language for custom rules</t>
  </si>
  <si>
    <t xml:space="preserve">2026-10-15: [Feature GA] AI Scan for pull requests is generally available: AI-based vulnerability detection on PR changes that complements CodeQL by covering languages and frameworks CodeQL lacks (PHP, Shell/Bash, Terraform HCL, Dockerfiles, JSP, Blazor and more), with findings marked 'AI' and optional suggested autofixes. Findings are advisory only (cannot fail the check or block merges), it skips fork and Dependabot PRs, needs Code Security or GHAS for private repos (no Copilot licence), and usage consumes Code Security AI Credits with SKU-level budgets.
2026-10-15: [Feature GA] Agentic autofix for code scanning alerts is generally available for Code Security and GHAS customers on GitHub Enterprise Cloud (incl. data residency): alerts are assigned to Copilot (alert page, bulk up to 25 alerts, or REST API assignee copilot-swe-agent[bot]), the agent explores the codebase, proposes a fix, reruns CodeQL to confirm the alert closes and opens a draft PR. It replaces the free 'Generate Fix' button, requires an enterprise 'Agentic autofix' policy and a Copilot billing method, works only on default-branch alerts, and consumes Code Security AI Credits plus Actions minutes.
2026-10-13: [Feature launch] Security overview now shows code scanning AI Scan metrics (13 Oct) and AI Scan enablement status per repository (6 Oct), giving admins visibility of AI Scan rollout ahead of its GA. Same week: GitHub Code Quality finding dismissals and reopenings are now written to the audit log.
2026-10-09: [Release] CodeQL 2.27.2 improves C++, Go, Rust and JavaScript analysis (changelog title; per-language query details not read).
2026-10-01: [Feature launch] Weekly scheduled scans for code scanning default setup and GitHub Code Quality now run only on repositories with a recent push or pull request analysis; validation scans and language-detection changes no longer keep dormant repositories marked as active for six months.
2026-09-30: [Feature GA] GitHub Team customers can now start self-serve trials (generally available) of GitHub Advanced Security (Code Security and Secret Protection) from the organisation Overview page, Billing and Licensing, or the Risk Assessment results page. Trial length and pricing are not stated in the announcement.
2026-09-25: [Feature launch] Agentic autofix (public preview) now reads and writes Copilot Memory, reusing prior fix patterns when resolving security alerts and storing new ones for other Copilot features.
2026-09-25: [Release] CodeQL 2.27.1 adds new C/C++ and C# queries, Kotlin 2.4.20 support, Go 1.27 stdlib dataflow models, new C/C++ taint models and Fastify recognition for JS/TS.
2026-09-16: [Feature launch] Code scanning AI Scan (AI-based vulnerability detection on pull requests, public preview) no longer requires CodeQL default setup on the repository; GHAS customers on github.com only, not GHES.
2026-09-15: [Feature GA] Enterprise admins can now enforce GitHub Advanced Security configurations so organisation and repository owners cannot override enterprise-level security settings (new three-level enforcement dropdown).</t>
  </si>
  <si>
    <t xml:space="preserve">- https://github.blog/changelog/2025-03-04-introducing-github-secret-protection-and-github-code-security/
- https://docs.github.com/en/code-security/code-scanning/managing-code-scanning-alerts/responsible-use-autofix-code-scanning
- https://github.blog/changelog/2026-07-20-github-code-quality-is-now-generally-available/
- https://www.forrester.com/blogs/announcing-the-forrester-wave-static-application-security-testing-solutions-and-buyers-guide-ai-brings-opportunity-to-sast-solutions</t>
  </si>
  <si>
    <t xml:space="preserve">https://www.greptile.com/</t>
  </si>
  <si>
    <t xml:space="preserve">SaaS; self-hosted for Enterprise (vendor)</t>
  </si>
  <si>
    <t xml:space="preserve">Language-agnostic LLM review; Opengrep rules for supported Opengrep languages</t>
  </si>
  <si>
    <t xml:space="preserve">- Full-repo indexed AI review
- Opengrep rule-based scanning for pattern vulnerabilities
- SCA for CVEs
- TREX sandbox runtime validation with screenshots/logs
- Learns from team feedback
- Security and compliance reviews on Enterprise</t>
  </si>
  <si>
    <t xml:space="preserve">- IDE: limited
- CI/CD: PR-based
- SCM: GitHub, GitLab
- Ticketing: Linear, Jira, Slack</t>
  </si>
  <si>
    <t xml:space="preserve">Not disclosed in verified sources</t>
  </si>
  <si>
    <t xml:space="preserve">- Security is secondary to code review
- Credit-based review tiers
- No compliance reporting
- Opengrep depth limits
- Young vendor</t>
  </si>
  <si>
    <t xml:space="preserve">Per seat plus credits</t>
  </si>
  <si>
    <t xml:space="preserve">Pro $30/seat/month ($360/yr) with 50 credits; Enterprise custom</t>
  </si>
  <si>
    <t xml:space="preserve">Small teams wanting one AI reviewer that also runs Opengrep and SCA; not an enterprise SAST</t>
  </si>
  <si>
    <t xml:space="preserve">2026-09-16: [Feature launch] Greptile redesigned its review summaries: a confidence score and verdict at the top, a findings list ordered by severity with P1 badges for security issues and direct links to comments, unresolved findings persisting across reviews, a 'What we checked' section for clean reviews, and a consolidated 'Fix All' button for agent actions (vendor changelog).</t>
  </si>
  <si>
    <t xml:space="preserve">- https://www.greptile.com/content-library/best-security-code-review-tools
- https://www.greptile.com/pricing</t>
  </si>
  <si>
    <t xml:space="preserve">SaaS (AppScan on Cloud) / On-prem (AppScan Source, Enterprise) / Cloud-native self-hosted (AppScan 360 on Kubernetes); air-gap supported for on-prem</t>
  </si>
  <si>
    <t xml:space="preserve">30+ languages incl. Java, C#, JavaScript/TypeScript, Python, Go, PHP, Ruby, Kotlin, Swift, C/C++, COBOL, ABAP, PL/SQL, Apex; CodeSweep covers a smaller set (Java, JS, Python, Go, etc.)</t>
  </si>
  <si>
    <t xml:space="preserve">- SAST with Intelligent Finding Analytics (ML FP reduction, long-standing)
- RapidFix: agentic AI triage plus deterministic Codemodder-based fixes
- CodeSweep free IDE/GitHub Action scanner
- Unified SAST/DAST/IAST/SCA with AppScan 360 cloud-native deployment
- Compliance reporting (PCI, OWASP, ISO)
- Strong DAST heritage (ex-IBM)
- AI SAST with business-logic flaw detection and per-asset-group AI controls on AppScan on Cloud (Sep 2026)</t>
  </si>
  <si>
    <t xml:space="preserve">- IDE: VS Code, IntelliJ, Eclipse, Visual Studio
- CI/CD: Jenkins, GitHub Actions, GitLab CI, Azure DevOps, Bamboo
- SCM: GitHub, GitLab, Bitbucket, Azure Repos
- Ticketing: Jira, ServiceNow, Azure Boards</t>
  </si>
  <si>
    <t xml:space="preserve">Vendor sectors: banking, insurance, government, telecom (ex-IBM install base); named customers not in 2025 MQ page</t>
  </si>
  <si>
    <t xml:space="preserve">Gartner MQ AST 2025: Leader (Oct 2025); Forrester Wave SAST Q3 2025: evaluated (placement not public; Strong Performer in 2023 Wave)</t>
  </si>
  <si>
    <t xml:space="preserve">- Smaller developer mindshare and community than Snyk/GitHub/Semgrep
- UI and workflow perceived as dated on Source/Enterprise
- RapidFix is new (2025-2026) with limited independent validation
- Pricing opaque and historically per-app/per-scan
- Multiple product lines (Source, 360, on Cloud, Enterprise) confuse packaging</t>
  </si>
  <si>
    <t xml:space="preserve">Per application / per scan bundles / platform subscription; CodeSweep free</t>
  </si>
  <si>
    <t xml:space="preserve">Not publicly disclosed (sales-led)</t>
  </si>
  <si>
    <t xml:space="preserve">Enterprises with existing IBM/HCL estates, on-prem mandates, and combined SAST+DAST needs; lower-cost Leader alternative in RFPs</t>
  </si>
  <si>
    <t xml:space="preserve">2026-09-29: [Release] AppScan on Cloud IAST update: Python agent 1.0.3 adds FastAPI support and generative AI monitoring for applications using the OpenAI Python library; .NET agent 1.17.3 adds configurable log directory and an updated Regex Timeout Validation rule. No further SAST changes after the 27 Sep update.
2026-09-27: [Feature launch] AppScan on Cloud: AI SAST can now detect business-logic flaws when enabled in SAST scan configuration; new AI settings let admins enable/disable AI Assistant, RapidFix, AI SAST and DAST IFA per organisation or asset group; plus multi-application reports and SCM bulk repository onboarding.</t>
  </si>
  <si>
    <t xml:space="preserve">- https://www.hcl-software.com/appscan/gartner-application-security-testing-report-2025
- https://www.hcl-software.com/appscan/products/rapidfix
- https://help.hcl-software.com/appscan/360/2.1.0/360_whats_new.html
- https://github.com/marketplace/actions/hcl-appscan-codesweep</t>
  </si>
  <si>
    <t xml:space="preserve">SaaS</t>
  </si>
  <si>
    <t xml:space="preserve">Java, JavaScript, TypeScript, Go, Rust, Python, Scala, C#, C, C++, Ruby, PHP, Kotlin, Swift (via Semgrep/Opengrep and gosec)</t>
  </si>
  <si>
    <t xml:space="preserve">- Orchestrates OSS scanners (Semgrep SAST with Jit rules, Gitleaks, OSV-Scanner, Trivy, ZAP, KICS, Prowler, gosec) in one plan
- Runtime-context prioritisation
- AI agents for triage and fix suggestions (2025)
- GitHub-first with GitLab, Azure DevOps rolling out
- Opengrep consortium member</t>
  </si>
  <si>
    <t xml:space="preserve">- IDE: VS Code
- CI/CD: GitHub Actions
- SCM: GitHub, GitLab (announced), Azure DevOps (coming)
- Ticketing: Jira, Slack, Shortcut</t>
  </si>
  <si>
    <t xml:space="preserve">- Detection quality is that of the underlying OSS scanners
- GitHub-centric
- Pricing undisclosed
- Overlaps with Aikido at lower maturity
- Small vendor</t>
  </si>
  <si>
    <t xml:space="preserve">Per developer (quote); free tier</t>
  </si>
  <si>
    <t xml:space="preserve">Startups wanting a free-to-cheap orchestrated OSS scanning plan with light AI triage</t>
  </si>
  <si>
    <t xml:space="preserve">- https://www.jit.io/
- https://www.opengrep.dev/</t>
  </si>
  <si>
    <t xml:space="preserve">SaaS with out-of-band runtime sensors in customer environment; on-prem not documented</t>
  </si>
  <si>
    <t xml:space="preserve">Java, JavaScript/TypeScript (Node.js, Deno, Bun), Python, Go, Rust, C/C++, Ruby, Scala</t>
  </si>
  <si>
    <t xml:space="preserve">- Blends deterministic and LLM analysis, then validates findings against runtime execution data (memory forensics, patented)
- Kai Red proves exploitability, Kai Blue generates ready-to-review PR fixes and verifies, Kai Defend ADR
- Runtime-aware SCA and secrets
- Function-level reachability persisting across builds
- Opengrep founding sponsor
- Member of OpenAI Daybreak cyber partner programme (2026)</t>
  </si>
  <si>
    <t xml:space="preserve">- IDE: yes (unspecified)
- CI/CD: PR checks and gates
- SCM: GitHub, GitLab, Azure DevOps, Bitbucket
- Ticketing: Jira (unverified)</t>
  </si>
  <si>
    <t xml:space="preserve">Named (site): Tencent, Google, Microsoft, MLB, Rapyd, Whistic, Lightcast, Apollo, Dayforce, CAVA, Riskified, Baptist Health</t>
  </si>
  <si>
    <t xml:space="preserve">- Requires runtime sensor deployment to realise value
- No on-prem control plane documented
- Pricing undisclosed
- Young vendor (founded 2023)
- Static-only accuracy without runtime data not independently benchmarked</t>
  </si>
  <si>
    <t xml:space="preserve">Platform subscription (quote)</t>
  </si>
  <si>
    <t xml:space="preserve">Cloud-native teams that can deploy runtime sensors and want reachability-validated SAST with auto-PR fixes</t>
  </si>
  <si>
    <t xml:space="preserve">2026-09-22: [Feature launch] Kodem joined OpenAI's Daybreak Cyber Partner Program, gaining access to OpenAI frontier cyber models for exploitability validation against loaded application state, per-agent governance decisions and ADR detection/response.</t>
  </si>
  <si>
    <t xml:space="preserve">- https://www.kodemsecurity.com/
- https://www.kodemsecurity.com/platform/sast
- https://www.kodemsecurity.com/resources/press-release-security-rivals-unite-to-launch-opengrep-following-semgrep-clampdown</t>
  </si>
  <si>
    <t xml:space="preserve">SaaS; self-hosted option marketed for enterprise (unverified)</t>
  </si>
  <si>
    <t xml:space="preserve">Java, JavaScript/TypeScript, Python, C#, Go, PHP, Kotlin (vendor docs; not verified this session)</t>
  </si>
  <si>
    <t xml:space="preserve">- Consumes SAST reports (Checkmarx, Snyk, CodeQL/GHAS, SonarQube, Semgrep, Fortify, Datadog) and generates ready-to-merge PRs
- Hybrid deterministic plus AI ('Clean Fix') for 100+ issue types incl. XSS, command injection, path traversal, SSRF, XXE
- Bulk fixing of related issues
- Visibility into AI-generated code risks (2026 positioning)
- Continuous fix on new commits</t>
  </si>
  <si>
    <t xml:space="preserve">- IDE: VS Code (vendor)
- CI/CD: GitHub Actions, Azure Pipelines
- SCM: GitHub, GitLab, Azure DevOps, Bitbucket
- Ticketing: Jira (unverified)</t>
  </si>
  <si>
    <t xml:space="preserve">Named: Santillana, Orcanos, Sage, SumUp, Cresta (vendor site)</t>
  </si>
  <si>
    <t xml:space="preserve">Not rated (Black Hat Startup Spotlight winner 2023 per prior knowledge, unverified this session)</t>
  </si>
  <si>
    <t xml:space="preserve">- Remediation-only; depends on third-party scanner quality
- Fix coverage limited to supported CWE/language matrix
- Pricing undisclosed
- Small vendor
- Overlaps with native autofix now bundled by Checkmarx, Snyk, GitHub</t>
  </si>
  <si>
    <t xml:space="preserve">Per developer / platform subscription (quote); free tier for small use</t>
  </si>
  <si>
    <t xml:space="preserve">Teams on incumbent SAST without strong native autofix (e.g. Fortify, older Checkmarx) that want vetted PR fixes</t>
  </si>
  <si>
    <t xml:space="preserve">- https://www.mobb.ai/
- https://docs.mobb.ai/
- https://www.pixee.ai/blog/veracode-alternatives</t>
  </si>
  <si>
    <t xml:space="preserve">SaaS; self-hosted not documented (unverified)</t>
  </si>
  <si>
    <t xml:space="preserve">Not publicly enumerated; agentic analysis marketed as language-agnostic (unverified)</t>
  </si>
  <si>
    <t xml:space="preserve">- AI agents that detect, validate (exploit proof) and remediate code, secrets, SCA and cloud findings
- Business-logic flaw detection (IDOR, broken access control, race conditions)
- Self-healing fixes that iterate until CI passes (vendor: 89% merge-ready, 92% closed without human intervention)
- Auto-suppresses ~80% low-severity noise
- Campaign routing via Compass code ownership, Jira capacity, Slack
- Optional AI pentest agent</t>
  </si>
  <si>
    <t xml:space="preserve">- IDE: not documented
- CI/CD: GitHub-based
- SCM: GitHub (GitLab unverified)
- Ticketing: Jira, Slack, Atlassian Compass</t>
  </si>
  <si>
    <t xml:space="preserve">Named: DAZN, Fox Sports, SmithRx, nib; sectors: media, healthcare, fintech</t>
  </si>
  <si>
    <t xml:space="preserve">- Outcome-based pricing opaque
- GitHub-centric
- LLM-agent nondeterminism; audit evidence for regulators unproven
- Young vendor (Australia/US) with limited enterprise references
- Detection depth versus dedicated SAST engines not independently benchmarked</t>
  </si>
  <si>
    <t xml:space="preserve">Outcome-based (priced on security work done, not seats)</t>
  </si>
  <si>
    <t xml:space="preserve">Lean security teams wanting an 'AI security engineer' to run triage-to-fix end to end on GitHub estates</t>
  </si>
  <si>
    <t xml:space="preserve">- https://www.nullify.ai/
- https://www.nullify.ai/pricing</t>
  </si>
  <si>
    <t xml:space="preserve">https://www.opentext.com/products/static-application-security-testing</t>
  </si>
  <si>
    <t xml:space="preserve">On-prem (Fortify SCA + SSC) / SaaS (OpenText Core Application Security, ex-Fortify on Demand) / Fortify Hosted; air-gap supported on-prem; Aviator runs server-side across SaaS, off-cloud and Hosted (per Sep 2026 blog)</t>
  </si>
  <si>
    <t xml:space="preserve">33+ languages incl. Java, C#, JavaScript/TypeScript, Python, Go, PHP, Ruby, Kotlin, Swift, C/C++, COBOL, ABAP, PL/SQL, T-SQL, Apex, Salesforce, Scala, Dart; Aviator audits 44+ languages (vendor claim Sep 2026)</t>
  </si>
  <si>
    <t xml:space="preserve">- Broadest language coverage incl. mainframe and ERP (COBOL, ABAP)
- Fortify Remediation Aviator: LLM audit of every finding (TP/FP) plus contextual fixes, optional auto-remediation
- ML Audit Assistant (earlier generation FP reduction)
- ScanCentral SAST for distributed scanning
- SAST/DAST correlation (v26.3)
- 26.x release cadence; VS Code extension 26.4 with in-IDE Aviator remediation and Fortify MCP servers (Sep 2026)</t>
  </si>
  <si>
    <t xml:space="preserve">- IDE: VS Code (incl. AWS Kiro, Google Antigravity), IntelliJ, Eclipse, Visual Studio
- CI/CD: Jenkins, GitHub Actions, GitLab CI, Azure DevOps, Bamboo
- SCM: GitHub, GitLab, Bitbucket, Azure Repos
- Ticketing: Jira, ServiceNow, Azure Boards</t>
  </si>
  <si>
    <t xml:space="preserve">Vendor sectors: government/defence (FedRAMP FoD), banking, insurance, healthcare, manufacturing; named customers not in 2025 MQ PR</t>
  </si>
  <si>
    <t xml:space="preserve">Gartner MQ AST 2025: Leader (11 consecutive years); Forrester Wave SAST Q3 2025: evaluated (placement not public; Leader in 2023 Wave)</t>
  </si>
  <si>
    <t xml:space="preserve">- Slow full scans and heavy infrastructure (ScanCentral) on large codebases
- Legacy UX (SSC) and complex licensing across SCA, SSC, FoD, Core
- Aviator is a paid add-on; SaaS-first for AI features
- High FP rates without Audit Assistant/Aviator tuning
- OpenText portfolio breadth means slower innovation cadence vs startups</t>
  </si>
  <si>
    <t xml:space="preserve">Per application / per LoC (on-prem) or per scan / per app (Core Application Security); Aviator add-on; custom</t>
  </si>
  <si>
    <t xml:space="preserve">Not publicly disclosed; third-party sources describe six-figure enterprise contracts</t>
  </si>
  <si>
    <t xml:space="preserve">Government, banking and mainframe/ERP-heavy enterprises needing COBOL/ABAP coverage and on-prem control with AI-assisted auditing</t>
  </si>
  <si>
    <t xml:space="preserve">2026-09-20: [Release] Fortify Code Security extension for VS Code 26.4 (posted approx. 20 Sep 2026): apply Aviator remediation fixes directly in the IDE, Fortify MCP server support in VS Code spanning Core Application Security, ScanCentral SAST/DAST and Remediation Aviator, auto-updating fcli skills/agents, support for AWS Kiro and Google Antigravity, and local SAST via Maven/Gradle/MSBuild.</t>
  </si>
  <si>
    <t xml:space="preserve">- https://blogs.opentext.com/2025-gartner-magic-quadrant-for-application-security-testing-opentext-named-a-leader-11-years-running/
- https://blogs.opentext.com/opentext-fortify-remediation-aviator-audit-every-finding-fix-whats-real/
- https://www.microfocus.com/documentation/fortify-static-code-analyzer-and-tools/2620/sast-aviator-ugd-26.2.0.pdf
- https://community.opentext.com/cybersec/fortify/w/tips/53868/fortify-code-security-for-visual-studio-code-26-2</t>
  </si>
  <si>
    <t xml:space="preserve">SaaS / Self-hosted / VPC / Air-gapped (with self-hosted LLM)</t>
  </si>
  <si>
    <t xml:space="preserve">Python, Java, JavaScript/TypeScript, .NET/C#, Go, PHP (fix generation); triage on any SARIF input</t>
  </si>
  <si>
    <t xml:space="preserve">- Ingests findings from 12 native scanner integrations (CodeQL, SonarQube, Checkmarx, Veracode, Snyk, Semgrep, AppScan, Polaris, GitLab SAST, Trivy, Datadog, Arnica) plus SARIF from 50+ scanners
- Exploitability-based triage (vendor claim up to 95% FP reduction)
- Deterministic codemods (120+) plus AI 'MagicMods' fixes as PRs
- Fix Evaluation Agent validates safety before PR
- 76% merge rate on automated fixes (vendor production data 2024-2025)
- Outcome-based pricing</t>
  </si>
  <si>
    <t xml:space="preserve">- IDE: none primary
- CI/CD: PR-based via SCM apps
- SCM: GitHub Enterprise, GitLab, Bitbucket Data Center, Azure DevOps
- Ticketing: Jira (via scanner platforms)</t>
  </si>
  <si>
    <t xml:space="preserve">- Not a scanner: requires an existing SAST/SCA
- Fix languages limited to 6
- Outcome-based pricing (per finding volume) hard to budget
- Small vendor; support scale
- Deterministic codemods cover common CWEs only, long tail relies on LLM</t>
  </si>
  <si>
    <t xml:space="preserve">Outcome-based: priced on annual scanner findings triaged and remediated; per-repository option cited</t>
  </si>
  <si>
    <t xml:space="preserve">Enterprises with large SAST backlogs across multiple scanners that need air-gap-capable auto-remediation</t>
  </si>
  <si>
    <t xml:space="preserve">- https://www.pixee.ai/blog/veracode-alternatives
- https://www.pixee.ai/pricing
- https://www.pixee.ai/</t>
  </si>
  <si>
    <t xml:space="preserve">https://snyk.io/product/snyk-code/</t>
  </si>
  <si>
    <t xml:space="preserve">SaaS (multi-region incl. EU, AU, US Gov); Snyk Broker for private SCM connectivity; no full on-prem; air-gap not supported</t>
  </si>
  <si>
    <t xml:space="preserve">Java (incl. Java SE 25 support, Sep 2026), JavaScript/TypeScript, Python, C#, Go, PHP, Ruby, Kotlin, Swift, Scala, C/C++, Apex, VB.NET, Groovy, Rust (beta) and others (~19 languages, vendor docs)</t>
  </si>
  <si>
    <t xml:space="preserve">- Fast symbolic-AI SAST engine (DeepCode) with real-time IDE scanning
- Snyk Agent Fix: verified AI fixes in IDE with re-scan loop
- Snyk Studio / MCP server for AI coding assistants
- Unified developer platform: Code, Open Source, Container, IaC, AppRisk (ASPM)
- PR checks and security gates
- Evo AI security products (AI-SPM, Continuous Offensive Security, Agentic Development Security)
- CLI 'snyk studio' command (experimental, Sep 2026) wires Snyk scanning into AI coding tools; 'snyk fix --agentic' with severity/breakability filters
- October 2026 engine update (live 26 Oct 2026): config-aware import resolution (go.mod, tsconfig paths), broader Java/PHP/Go/Ruby/C# detection, new Mass Assignment (Spring) and SSRF (Ruby) rules
- HTML reports for 'snyk code test' (CLI v1.1308.0)</t>
  </si>
  <si>
    <t xml:space="preserve">- IDE: VS Code, JetBrains, Visual Studio, Eclipse, Cursor, Copilot (MCP)
- AI coding tools via 'snyk studio' CLI (experimental): Cursor, Claude Code, Codex, Copilot, Gemini, Kiro, Windsurf
- CI/CD: GitHub Actions, GitLab CI, Jenkins, Azure DevOps, CircleCI, Bitbucket Pipelines
- SCM: GitHub, GitLab, Bitbucket, Azure Repos
- Ticketing: Jira, ServiceNow (via AppRisk), Slack</t>
  </si>
  <si>
    <t xml:space="preserve">Vendor: 'thousands' of customers; sectors: technology, financial services, retail, media; named customers not stated in 2025 MQ blog (site cites e.g. Salesforce, Google, Atlassian, historically)</t>
  </si>
  <si>
    <t xml:space="preserve">Gartner MQ AST 2025: Leader; Forrester Wave SAST Q3 2025: Leader</t>
  </si>
  <si>
    <t xml:space="preserve">- No on-prem/air-gap; Broker only bridges connectivity
- Credit-based Enterprise pricing is hard to forecast; Team plan capped at 10 devs
- Agent Fix suggests only, no autonomous PR for SAST
- Custom rule authoring not available (unlike Semgrep/CodeQL)
- Weaker on legacy languages (COBOL, ABAP) vs Veracode/Fortify</t>
  </si>
  <si>
    <t xml:space="preserve">Per developer (Team) / credit-based platform bundle (Enterprise); free tier</t>
  </si>
  <si>
    <t xml:space="preserve">Team $25/dev/month list (max 10 devs, 1,000 Code tests/mo); Enterprise custom, third-party median ~$45k/yr; ~$1,000 to $1,300 per dev/yr commonly cited (Low confidence)</t>
  </si>
  <si>
    <t xml:space="preserve">High (Team list) / Medium (Enterprise)</t>
  </si>
  <si>
    <t xml:space="preserve">Developer-first organisations on cloud SCMs wanting fast IDE/PR feedback plus SCA and container in one tool; teams heavy on AI coding assistants</t>
  </si>
  <si>
    <t xml:space="preserve">2026-10-13: [Feature launch] Snyk announced the Snyk Code October 2026 update (post shows only a relative date, approx. 13 Oct; the update itself goes live on 26 Oct 2026): deeper analysis for Java, Kotlin, Go, TypeScript, JavaScript, Python, C#, PHP and Ruby, import resolution from go.mod, tsconfig.json and jsconfig.json, new Java framework coverage (Spring Data MongoDB, AWS SDK DynamoDB, Commons FileUpload), new Mass Assignment (Java/Spring) and SSRF (Ruby) rules, and a PHP typing fix. Snyk warns that affected projects will report significantly more findings on their next scan, which can affect PR gates.
2026-10-08: [Release] Snyk CLI v1.1308.0: 'snyk code test' and 'snyk secrets test' can now produce HTML reports via --html or --html-file-output; the experimental 'snyk agent-scan' command reports risk indicators instead of issue codes; plus Maven, Gradle and .NET reliability fixes. A follow-up v1.1308.1 (approx. 16 Oct) makes HTML output for 'snyk test' available without preview flags.
2026-09-23: [Release] Snyk disclosed a change to the Snyk Code Priority Score: the 200-point factor for rules that had a fix example was retired (removed in the 17 Aug 2026 release, effective 1 Sep 2026), so findings were reordered without any being added, removed or reclassified. Snyk apologised for earlier release notes saying no action was required.
2026-09-23: [Feature launch] The Agent Development Security (ADS) installer now ships as a signed macOS .pkg and Windows .msi downloadable from Settings, removing the need for custom deployment scripts.
2026-09-23: [Release] Snyk for Jira is moving from Atlassian Connect to Atlassian Forge: new installations use the Forge version from 30 Sep 2026 and existing installations are migrated during October, with permissions, configuration and existing Jira issues carried over (per vendor).
2026-09-23: [Release] Snyk CLI v1.1307.4 adds an experimental 'snyk studio' command that installs background security scanning into AI coding tools (Cursor, Claude Code, Codex, Copilot, Gemini, Kiro, Windsurf), and adds severity, breakability and exclude-ID filters to 'snyk fix --agentic', which now keeps failed fix changes for review by default. It also fixes --code and other scan flags being silently dropped for orgs on the unified test API.
2026-09-14: [Release] Snyk Code September 2026 release (documented via the snyk/user-docs PR for the 14 Sep 2026 release): Java SE 25 support and eight new Java frameworks (incl. Apache Commons Collections, Flyway, MSAL4J), LangChain LiteLLM modelled as an untrusted source for Python, expanded Kotlin framework list, new rules (HSTS Disabled for Ruby and Java, CRLF Sequences and UI Layers/Frames for Python, XPath Injection for Rust), corrected COBOL CWE mappings, and a behaviour change so that .gitignore rules now exclude only untracked files, meaning committed files are analysed.</t>
  </si>
  <si>
    <t xml:space="preserve">- https://snyk.io/blog/snyk-named-a-leader-in-the-2025-gartner-r-magic-quadrant-tm-for-application/
- https://snyk.io/blog/snyk-named-a-leader-in-the-2025-forrester-sast-wave-sast-solutions-q3-2025/
- https://docs.snyk.io/scan-fix-and-prevent/scan-with-snyk/snyk-code/manage-code-vulnerabilities/fix-code-vulnerabilities-automatically
- https://snyk.io/plans/
- https://siliconangle.com/2026/06/23/snyk-launches-evo-agentic-development-security-police-ai-coding-agents/</t>
  </si>
  <si>
    <t xml:space="preserve">https://www.veracode.com/products/static-analysis/</t>
  </si>
  <si>
    <t xml:space="preserve">SaaS only (US, EU, FedRAMP regions); no on-prem; air-gap not supported</t>
  </si>
  <si>
    <t xml:space="preserve">Binary/bytecode analysis: Java, .NET, JavaScript/TypeScript, Python, PHP, Ruby, Go, Kotlin, Swift, Objective-C, C/C++, Scala, COBOL, ABAP, Apex, PL/SQL and more (30+ languages); Veracode Fix covers 10 languages (vendor)</t>
  </si>
  <si>
    <t xml:space="preserve">- Binary SAST (compiled artefact upload) with low FP policy scan
- Pipeline Scan (fast, CI-friendly) and IDE Scan
- Veracode Fix AI remediation for SAST and (Mar 2026) SCA
- Veracode Risk Manager (ASPM, ex-Longbow)
- Policy and compliance reporting, eLearning
- Unified platform: SAST, DAST, SCA, container, IaC, Phylum malicious-package protection
- Veracode CLI 'scan static' and 'findings static' commands for static scanning in Git workflows (CLI v2.53.0, Oct 2026)</t>
  </si>
  <si>
    <t xml:space="preserve">- IDE: VS Code, IntelliJ/JetBrains, Visual Studio, Eclipse
- CLI: Veracode CLI (package, scan static, findings static, fix)
- CI/CD: Jenkins, GitHub Actions, GitLab CI, Azure DevOps, Bamboo, CircleCI
- SCM: GitHub, GitLab, Bitbucket, Azure Repos
- Ticketing: Jira, Azure Boards, ServiceNow</t>
  </si>
  <si>
    <t xml:space="preserve">Vendor: 'thousands' of teams; sectors: financial services, government/public sector (FedRAMP), healthcare, technology; named customers not listed in 2025-2026 analyst PRs</t>
  </si>
  <si>
    <t xml:space="preserve">Gartner MQ AST 2025: Leader (11th consecutive time); Forrester Wave SAST Q3 2025: Leader</t>
  </si>
  <si>
    <t xml:space="preserve">- SaaS-only; no on-prem or air-gapped option (blocker for regulated/sovereign clients)
- Binary analysis needs compiled artefacts; slower full policy scans vs source-based tools
- Per-application pricing punishes microservice estates; overage fees per extra app
- Pricing opaque; Vendr median ~$24k/yr but enterprise six figures
- Veracode Fix limited to 10 languages and subset of CWEs</t>
  </si>
  <si>
    <t xml:space="preserve">Per application (app profile) per year, platform bundles; Fix and DAST as add-ons</t>
  </si>
  <si>
    <t xml:space="preserve">Not published. Vendr: median $23,774/yr, range $9,840 to $143,693/yr; third-party estimates $50k to $120k/yr for 5 to 20 apps</t>
  </si>
  <si>
    <t xml:space="preserve">Regulated enterprises standardising on a SaaS AST platform with policy-driven compliance reporting and low-FP binary SAST; not for on-prem mandates</t>
  </si>
  <si>
    <t xml:space="preserve">2026-10-13: [Release] Veracode CLI v2.53.0 adds 'scan static' and 'findings static' commands for running static scans and retrieving static findings inside Git workflows, and improves 'veracode package' for Java and C# source packaging plus a BitBake Ninja issue. No other Static Analysis or Veracode Fix entries were posted in the window.
2026-09-23: [Release] Veracode CLI update: the 'veracode fix sca' command gets performance improvements for JavaScript projects. Same-day DAST update allows multiple teams to be assigned to a DAST target. No Static Analysis changes were listed in the window.</t>
  </si>
  <si>
    <t xml:space="preserve">- https://www.businesswire.com/news/home/20251010276937/en/Veracode-Named-a-Leader-in-the-Gartner-Magic-Quadrant-Application-Security-Testing-for-11th-Consecutive-Time
- https://www.veracode.com/blog/leader-in-sast-forrester-wave-2025/
- https://www.helpnetsecurity.com/2026/03/18/veracode-fix-for-sca/
- https://www.vendr.com/marketplace/veracode
- https://www.businesswire.com/news/home/20260728207685/en/</t>
  </si>
  <si>
    <t xml:space="preserve">SaaS / On-prem or private cloud (Enterprise tier only)</t>
  </si>
  <si>
    <t xml:space="preserve">Major languages incl. Python, JS/TS, Java, Go, C#, Ruby, PHP, Rust, C/C++, Kotlin, Swift (vendor; LLM-based so coverage is broad but depth varies)</t>
  </si>
  <si>
    <t xml:space="preserve">- AI-native SAST: LLM reasoning over code graph to find business-logic and auth flaws
- One-click autofix with AI patches
- Centralised SAST management: import and triage third-party scanner results
- Unlimited repos/PR scans on Team plan
- Published research on finding 0-days in OSS with the engine
- Enterprise self-hosting</t>
  </si>
  <si>
    <t xml:space="preserve">- IDE: limited
- CI/CD: PR-based
- SCM: GitHub, GitLab, Bitbucket, Azure DevOps (vendor)
- Ticketing: Jira, Slack</t>
  </si>
  <si>
    <t xml:space="preserve">Not publicly disclosed; vendor cites security-researcher community and startups</t>
  </si>
  <si>
    <t xml:space="preserve">- Startup (founded 2024); viability and support scale risk
- LLM-only detection nondeterminism; audit repeatability
- Pricing base fee plus per-dev is expensive for small teams ($1,000/mo floor)
- No free tier
- Thin IDE integration versus incumbents</t>
  </si>
  <si>
    <t xml:space="preserve">Platform base fee plus per developer (Team); Enterprise custom; usage credits 'coming soon'</t>
  </si>
  <si>
    <t xml:space="preserve">Team from $1,000/month plus $60/dev/month (published); ~$720/dev/yr plus $12k/yr base</t>
  </si>
  <si>
    <t xml:space="preserve">Security teams hunting logic flaws AI can reason about, and centralising multi-scanner triage; enterprises needing self-hosted AI SAST</t>
  </si>
  <si>
    <t xml:space="preserve">- https://zeropath.com/pricing
- https://zeropath.com/products/sast
- https://zeropath.com/products/sast-autofix
- https://thectoclub.com/tools/zeropath-review/</t>
  </si>
  <si>
    <t xml:space="preserve">https://bandit.readthedocs.io/</t>
  </si>
  <si>
    <t xml:space="preserve">On-prem / CLI; air-gap supported</t>
  </si>
  <si>
    <t xml:space="preserve">Python only</t>
  </si>
  <si>
    <t xml:space="preserve">- AST-based checks for ~50 common Python security issues (B1xx-B7xx)
- Simple CLI, JSON/SARIF/HTML output
- Pre-commit hook and GitHub Action
- Baseline support for incremental adoption
- Pluggable test set</t>
  </si>
  <si>
    <t xml:space="preserve">- IDE: VS Code/PyCharm via linters
- CI/CD: any, GitHub Action (bandit-action)
- SCM: any
- Ticketing: none</t>
  </si>
  <si>
    <t xml:space="preserve">Widely used in OSS and Python shops; no vendor references</t>
  </si>
  <si>
    <t xml:space="preserve">- No dataflow/taint analysis; high FP on patterns like assert/subprocess
- Python only
- No management console or dedup
- Slow release cadence (1.9.x, 2025)
- Misses injection through frameworks</t>
  </si>
  <si>
    <t xml:space="preserve">Free</t>
  </si>
  <si>
    <t xml:space="preserve">$0</t>
  </si>
  <si>
    <t xml:space="preserve">Quick Python hygiene gate in CI; supplement to a taint-capable SAST</t>
  </si>
  <si>
    <t xml:space="preserve">- https://github.com/PyCQA/bandit
- https://github.com/PyCQA/bandit/releases
- https://appsecsanta.com/bandit</t>
  </si>
  <si>
    <t xml:space="preserve">https://cycode.com/platform/sast/</t>
  </si>
  <si>
    <t xml:space="preserve">Cycode SaaS (multi-region) with hybrid scanning agents; on-prem: Cycode offers self-hosted options for regulated clients (unverified detail); Bearer CLI runs anywhere incl. air-gap</t>
  </si>
  <si>
    <t xml:space="preserve">Bearer CLI: Ruby, JavaScript/TypeScript, Java, PHP, Go, Python (plus C# beta); Cycode SAST expands via additional engines to 20+ languages (vendor)</t>
  </si>
  <si>
    <t xml:space="preserve">- Bearer: privacy/data-flow aware SAST (sensitive data detection) with fast CLI
- Cycode Complete ASPM: SAST, SCA, secrets, IaC, CI/CD posture, pipeline security in one graph
- Sep 2026: Agentic Code Scanning and Attack Chaining (LLM plans from threat model, validates exploitability)
- AI-generated rule configuration and AI exploitability triage
- Cygives free OSS tools (Bearer, Raven, Cimon)
- Workstation Protection: real-time package-install interception and cooldown policies on developer machines (early access, Sep 2026)</t>
  </si>
  <si>
    <t xml:space="preserve">- IDE: VS Code, JetBrains
- CI/CD: GitHub Actions, GitLab CI, Jenkins, Azure DevOps, CircleCI, Bitbucket
- SCM: GitHub, GitLab, Bitbucket, Azure DevOps
- Ticketing: Jira, ServiceNow, Slack</t>
  </si>
  <si>
    <t xml:space="preserve">Cycode named customers (site): Grubhub, Rapyd, Payoneer, Zoom (historical claims); sectors: fintech, SaaS</t>
  </si>
  <si>
    <t xml:space="preserve">Not rated in Gartner MQ AST 2025 or Forrester SAST Wave 2025 (Cycode appears in ASPM analyst coverage)</t>
  </si>
  <si>
    <t xml:space="preserve">- Bearer standalone SAST is effectively frozen; value now tied to buying the Cycode ASPM platform
- Bearer OSS language coverage narrow (6-7 languages)
- Cycode SAST maturity and independent benchmarks limited
- Pricing undisclosed
- Agentic scanning is weeks old (Sep 2026); production evidence thin</t>
  </si>
  <si>
    <t xml:space="preserve">Platform bundle per developer (Cycode); Bearer CLI free</t>
  </si>
  <si>
    <t xml:space="preserve">Not publicly disclosed (Cycode); $0 for Bearer CLI</t>
  </si>
  <si>
    <t xml:space="preserve">Teams wanting ASPM with pipeline/CI security plus SAST in one graph; Bearer CLI for privacy-aware scanning in Ruby/JS/Java/Go/Python projects</t>
  </si>
  <si>
    <t xml:space="preserve">2026-09-23: [Feature launch] Cycode extended ADLC Security to developer workstations with Workstation Protection (early access): intercepts package installs in real time, enforces release-age cooldown policies and threat-intel blocking, deployed via MDM, covering machines running coding agents.</t>
  </si>
  <si>
    <t xml:space="preserve">- https://cycode.com/press/cycode-completes-acquisition-of-bearer-and-announces-new-cygives-developer-initiative/
- https://techcrunch.com/2024/03/05/cycode-acquires-bearer-to-accelerate-its-move-into-ai-enhanced-security-remediation/
- https://www.prnewswire.com/news-releases/cycode-releases-agentic-code-scanning-and-attack-chaining-post-mythos-eras-answer-to-cost-vs-precision-tradeoff-302866093.html
- https://cycode.com/blog/ai-sast/</t>
  </si>
  <si>
    <t xml:space="preserve">Ruby on Rails only</t>
  </si>
  <si>
    <t xml:space="preserve">- Rails-aware static analysis without running the app
- Detects SQLi, XSS, mass assignment, CSRF, command injection, unsafe deserialisation
- Confidence levels, ignore files, baselines
- Fast (seconds)
- Latest 8.0.6 (Aug 2026), 236M+ downloads</t>
  </si>
  <si>
    <t xml:space="preserve">- IDE: RubyMine built-in
- CI/CD: any (GitHub Action, GitLab SAST template)
- SCM: any
- Ticketing: none</t>
  </si>
  <si>
    <t xml:space="preserve">Bundled by GitLab SAST and many Rails shops (GitHub, Shopify historically)</t>
  </si>
  <si>
    <t xml:space="preserve">- Rails only
- Single-maintainer project
- Licence is not OSI-approved (restricts commercial bundling)
- No AI or fix generation
- Limited coverage of non-Rails Ruby</t>
  </si>
  <si>
    <t xml:space="preserve">Any Rails codebase; near-zero cost, low noise</t>
  </si>
  <si>
    <t xml:space="preserve">- https://rubygems.org/gems/brakeman/versions
- https://brakemanscanner.org/
- https://github.com/presidentbeef/brakeman</t>
  </si>
  <si>
    <t xml:space="preserve">https://about.gitlab.com/solutions/application-security-testing/</t>
  </si>
  <si>
    <t xml:space="preserve">SaaS (GitLab.com) / On-prem (Self-Managed) / GitLab Dedicated (single-tenant); offline/air-gapped self-managed supported (analyser images mirrored; Duo AI requires Self-Hosted Duo with own model endpoint)</t>
  </si>
  <si>
    <t xml:space="preserve">Advanced SAST: Python, Go, Java, JavaScript, TypeScript, C#, PHP, Ruby, C/C++, Kotlin, Dart, Scala (GA; Kotlin/Dart/Scala added in 19.4, Sep 2026) plus Swift, Objective-C, Rust (beta); Semgrep-based basic SAST covers further languages</t>
  </si>
  <si>
    <t xml:space="preserve">- Advanced SAST: cross-file, cross-function taint analysis (GA 17.3, Oct 2024) with code-flow visualisation
- Duo Vulnerability Explanation and Vulnerability Resolution (MR with fix)
- Native MR security widget, approval rules, vulnerability report and policies
- Bundled DAST, SCA, secret, container, IaC, API fuzzing in Ultimate
- Diff-based and incremental scanning
- Vulnerability Context Flow (AI triage context) and Automated Triage and Remediation profiles at group level (19.4, Sep 2026)
- 19.5 (Oct 2026): vulnerability tracking and AI flows (FP detection, Vulnerability Resolution) on up to three non-default branches, group-level SAST/Secret Detection profile customisation in the UI, Business Logic Security Analyzer (closed beta), GitLab MCP server GA</t>
  </si>
  <si>
    <t xml:space="preserve">- IDE: VS Code, JetBrains, Visual Studio (GitLab Workflow extensions), Web IDE
- AI agents: GitLab MCP server (GA 19.5) for Claude Code, Cursor, Codex and other MCP clients; AI Governance for externally connected agents (beta)
- CI/CD: GitLab CI native; Jenkins via integration
- SCM: GitLab only (imports from GitHub)
- Ticketing: GitLab Issues, Jira integration</t>
  </si>
  <si>
    <t xml:space="preserve">Vendor: 50%+ of Fortune 100; named (GitLab site): Lockheed Martin, Goldman Sachs, T-Mobile, UBS, Siemens; sectors: public sector, defence, financial services</t>
  </si>
  <si>
    <t xml:space="preserve">Forrester Wave SAST Q3 2025: Leader; Gartner MQ AST 2025: placement not confirmed in public sources (GitLab is a Leader in DevOps Platforms MQ 2025)</t>
  </si>
  <si>
    <t xml:space="preserve">- Value only if the client runs GitLab; SAST is not sold standalone
- Advanced SAST is slower and heavier than basic Semgrep scan; language list narrower than dedicated SAST vendors
- Duo Vulnerability Resolution quality varies; no AI FP triage
- Ultimate list price no longer public (custom quote as of 2026; historically ~$99/user/month)
- Basic SAST (Free/Premium) is OSS analysers with high FP rates
- Self-managed Duo adds patching burden: self-hosted AI Gateway had a critical CVSS 9.9 flaw (CVE-2026-90970, patched Oct 2026)</t>
  </si>
  <si>
    <t xml:space="preserve">Per user per month (Ultimate tier) platform bundle; Duo credits included ($24/user/month credits in Ultimate)</t>
  </si>
  <si>
    <t xml:space="preserve">Ultimate: custom pricing as of Sep 2026 (historically $99/user/month, ~$1,188/user/yr list); Premium $29/user/month does not include Advanced SAST</t>
  </si>
  <si>
    <t xml:space="preserve">GitLab-standardised enterprises, sovereign/air-gapped environments needing on-prem SAST plus AI with self-hosted models</t>
  </si>
  <si>
    <t xml:space="preserve">2026-10-15: [Release] GitLab 19.5 (Ultimate): vulnerability tracking on up to three non-default branches with SAST False Positive Detection, SAST Vulnerability Resolution and Secret False Positive Detection AI flows now running on those branches; group-level UI customisation of SAST and Secret Detection security configuration profiles; Advanced SAST scans C/C++ files nested up to 20 levels; MR security report compares up to 1,000 findings per severity (was 25); Business Logic Security Analyzer (closed beta, GitLab.com, consumes GitLab Credits) hunts BOLA and missing authorisation checks via Duo Chat or API. The GitLab MCP server is GA across all tiers with toolset selection, new groups/artifact/Duo-agent tools and per-user rate limits (60 req/min Free, 600 Premium/Ultimate); Externally Connected Agents (Claude Code, Cursor, Codex) can report into AI Governance (beta).
2026-10-02: [Release] GitLab patched a critical flaw (CVE-2026-90970, CVSS 9.9) in the self-hosted AI Gateway used by Duo Self-Hosted: an authenticated user with Duo Agent Platform access could escape the prompt template sandbox and run commands on the gateway. Fixed in AI Gateway 19.2.4, 19.3.2 and 19.4.1; GitLab.com and Dedicated were already patched (date is that of the press report).
2026-09-23: [Release] Critical patch release 19.4.1, 19.3.3 and 19.2.7 fixes two CVSS 9.9 code-execution bugs in CI/CD regular expression parsing (CVE-2026-89078, CVE-2026-93577) and a Duo job-troubleshooting issue that could expose CI/CD variable values from debug traces (CVE-2026-92470). Self-managed instances should upgrade; no SAST feature changes.
2026-09-17: [Release] GitLab 19.4 (Ultimate): Advanced SAST adds Kotlin, Dart and Scala with framework-aware taint analysis; Vulnerability Context Flow generates AI triage context (auth, authz, sensitive data); vulnerability tools added to the GitLab MCP server; group-level Automated Triage and Remediation profiles (Conservative/Standard/Proactive) coordinate SAST FP detection and Duo remediation.</t>
  </si>
  <si>
    <t xml:space="preserve">- https://docs.gitlab.com/user/application_security/sast/gitlab_advanced_sast/
- https://softprom.com/the-forrester-wave-sast-analyzing-the-positions-of-veracode-opentext-and-gitlab
- https://about.gitlab.com/pricing/
- https://about.gitlab.com/blog/quick-vulnerability-remediation-with-gitlab-advanced-sast-duo-ai/</t>
  </si>
  <si>
    <t xml:space="preserve">Go only</t>
  </si>
  <si>
    <t xml:space="preserve">- AST and SSA/taint-based rules (G1xx-G7xx) incl. new G124 cookie config, G708 SSTI, G709 unsafe deserialisation (v2.25, 2026)
- SARIF/JSON/JUnit output
- GitHub Action, golangci-lint integration
- Active releases tracking Go 1.25/1.26
- Growing taint analysis with FP reduction work</t>
  </si>
  <si>
    <t xml:space="preserve">- IDE: via golangci-lint in VS Code/GoLand
- CI/CD: any, GitHub Action
- SCM: any
- Ticketing: none</t>
  </si>
  <si>
    <t xml:space="preserve">Standard in Go OSS and cloud-native projects; bundled by GitLab SAST</t>
  </si>
  <si>
    <t xml:space="preserve">- Go only
- Performance regressions reported on large call graphs (v2.24)
- FP-prone rules (G104 unhandled errors, G118)
- No management/triage layer
- Coverage of web-framework sinks limited</t>
  </si>
  <si>
    <t xml:space="preserve">Go microservices; run in golangci-lint alongside a commercial SAST</t>
  </si>
  <si>
    <t xml:space="preserve">- https://github.com/securego/gosec
- https://newreleases.io/project/github/securego/gosec/release/v2.25.0
- https://appsecsanta.com/gosec</t>
  </si>
  <si>
    <t xml:space="preserve">On-prem / CLI anywhere; air-gap supported (binary plus rules offline)</t>
  </si>
  <si>
    <t xml:space="preserve">Same base as Semgrep CE (30+ languages incl. Java, JS/TS, Python, Go, C#, Ruby, PHP, Kotlin, Swift, C/C++, Rust); roadmap adds cross-file and cross-function analysis previously Pro-only</t>
  </si>
  <si>
    <t xml:space="preserve">- Drop-in Semgrep-compatible CLI and rule syntax
- Consortium-governed, full-time dev team, merit-based contributions
- Restores SARIF/JSON outputs and fingerprinting removed from Semgrep CE
- Roadmap: inter-procedural and cross-file analysis, extended languages
- Embedded in Aikido, Endor Labs, Amplify, Kodem products</t>
  </si>
  <si>
    <t xml:space="preserve">- IDE: via Semgrep-compatible extensions (limited)
- CI/CD: any (CLI, GitHub Action community)
- SCM: any
- Ticketing: none native</t>
  </si>
  <si>
    <t xml:space="preserve">Used as engine inside Aikido, Endor Labs, Amplify, Kodem, Jit; no end-customer references</t>
  </si>
  <si>
    <t xml:space="preserve">- Young project (launched Jan 2025); long-term funding depends on consortium vendors
- Pro-only features (interfile taint) still being rebuilt
- No management console, triage, or dedup: needs a platform around it
- Rule registry fragmentation between Semgrep and Opengrep rules
- No commercial support unless via a consortium vendor</t>
  </si>
  <si>
    <t xml:space="preserve">Teams wanting a permissively licensed Semgrep-compatible engine for air-gapped or cost-constrained pipelines; base engine for internal tooling</t>
  </si>
  <si>
    <t xml:space="preserve">- https://www.opengrep.dev/
- https://www.prnewswire.com/news-releases/security-rivals-unite-to-launch-opengrep-following-semgrep-clampdown-302358962.html
- https://www.darkreading.com/application-security/code-scanning-tool-s-license-at-heart-of-security-breakup
- https://www.aikido.dev/blog/launching-opengrep-why-we-forked-semgrep</t>
  </si>
  <si>
    <t xml:space="preserve">https://pmd.github.io/</t>
  </si>
  <si>
    <t xml:space="preserve">On-prem / CLI, Maven/Gradle; air-gap supported</t>
  </si>
  <si>
    <t xml:space="preserve">Java, Apex, JavaScript, Kotlin, Swift, PL/SQL, Visualforce, XML, Scala, Modelica and more (PMD 7.x); CPD copy-paste detector for 20+ languages</t>
  </si>
  <si>
    <t xml:space="preserve">- PMD 7.28.0 (Sep 2026) with monthly releases
- Rule categories incl. security (limited), best practices, error-prone
- XPath-based custom rules
- Apex security rules valued in Salesforce shops
- CPD duplicate detection
- SARIF output
- Type-aware Kotlin XPath rules (7.28.0)</t>
  </si>
  <si>
    <t xml:space="preserve">- IDE: Eclipse, IntelliJ, VS Code plugins
- CI/CD: Maven, Gradle, Ant, Jenkins, GitHub Action
- SCM: any
- Ticketing: none</t>
  </si>
  <si>
    <t xml:space="preserve">Widely used in Java and Salesforce ecosystems (Salesforce Code Analyzer bundles PMD)</t>
  </si>
  <si>
    <t xml:space="preserve">- Primarily code quality; security ruleset thin outside Apex
- No taint analysis
- Not a substitute for SAST
- Rule tuning effort
- Java-centric depth</t>
  </si>
  <si>
    <t xml:space="preserve">Salesforce Apex security checks and Java code-quality gates; complement, not SAST</t>
  </si>
  <si>
    <t xml:space="preserve">2026-09-25: [Release] PMD 7.28.0 adds five Java rules (including InternalApiUsage and OnDemandImport) and one Apex rule, type-aware Kotlin XPath attributes and functions, and fixes false positives in the HardCodedCryptoKey security rule.</t>
  </si>
  <si>
    <t xml:space="preserve">- https://github.com/pmd/pmd/releases/tag/pmd_releases/7.27.0
- https://pmd.github.io/pmd/pmd_release_notes_pmd7.html
- https://github.com/pmd/pmd/releases</t>
  </si>
  <si>
    <t xml:space="preserve">https://semgrep.dev/products/semgrep-code/</t>
  </si>
  <si>
    <t xml:space="preserve">SaaS (Semgrep AppSec Platform) / Hybrid: scans run in customer CI, code not uploaded (findings only); no fully on-prem control plane; Assistant requires SaaS; air-gap: CE only</t>
  </si>
  <si>
    <t xml:space="preserve">30+ languages; Pro cross-file/cross-function taint for Java, Kotlin, Go, JS/TS, Python, C#, Ruby, PHP, Swift, Scala, C/C++, Rust, Elixir (varies by maturity)</t>
  </si>
  <si>
    <t xml:space="preserve">- Pattern-as-code rules (YAML) written by AppSec teams; 2,000+ registry rules
- Pro engine interfile taint analysis
- Semgrep Assistant: AI noise filtering, triage memories, autofix, component tagging
- PR-native diff scanning with fast scans
- Supply Chain (reachability SCA) and Secrets in same platform
- MCP server and IDE extensions</t>
  </si>
  <si>
    <t xml:space="preserve">- IDE: VS Code, JetBrains, Cursor (MCP)
- CI/CD: GitHub Actions, GitLab CI, Jenkins, Azure Pipelines, CircleCI, Bitbucket Pipelines, Buildkite
- SCM: GitHub, GitLab, Bitbucket, Azure Repos
- Ticketing: Jira, Slack, webhooks
- Identity: SCIM provisioning from Okta and Microsoft Entra ID (public beta, Sep 2026)</t>
  </si>
  <si>
    <t xml:space="preserve">Named (Oct 2025 PR): Snowflake, Dropbox; site lists Figma, Lyft, Reddit, GitLab; sectors: technology, fintech, SaaS</t>
  </si>
  <si>
    <t xml:space="preserve">Gartner MQ AST 2025: included for the first time (quadrant not stated in Semgrep PR; third-party reports say not a Leader); Forrester Wave SAST Q3 2025: not evaluated</t>
  </si>
  <si>
    <t xml:space="preserve">- Dec 2024 licence change moved rules/registry and Pro features away from permissive OSS (triggered Opengrep fork); CE lacks interfile analysis
- SaaS control plane only; no on-prem for regulated clients
- Quality depends on rule curation; enterprise coverage for legacy languages (COBOL, ABAP) absent
- Per-contributor pricing escalates for large orgs; Assistant tied to Teams/Enterprise
- Not in Forrester SAST Wave 2025</t>
  </si>
  <si>
    <t xml:space="preserve">Per contributing developer per month (Teams); Enterprise custom; free CE and free tier up to 10 contributors</t>
  </si>
  <si>
    <t xml:space="preserve">Third-party: Teams Code ~$30 to $40/contributor/month ($360 to $480/yr); Vendr list range $40 to $80/dev/month, median contract $54k/yr</t>
  </si>
  <si>
    <t xml:space="preserve">AppSec teams that want to write and own rules, fast PR feedback, and AI triage to keep noise down; consulting teams building reusable client-specific rule packs</t>
  </si>
  <si>
    <t xml:space="preserve">2026-09-24: [Feature launch] Semgrep Supply Chain (same platform) adds Malware Detection and Response Automation with expert-verified rules and org-wide response workflows (Jira/Slack), plus a Malware Firewall in private beta; SCA module, not Semgrep Code.
2026-09-21: [Release] Week of 21 Sep 2026 release notes: SCIM provisioning of users and groups from identity providers such as Okta and Microsoft Entra ID is in public beta, the billing interface was redesigned, and Supply Chain now shows active or recent incidents at the top of the Advisories page. No Semgrep Code or Assistant changes listed.
2026-09-14: [Release] Week of 14 Sep 2026 release notes: Semgrep Guardian now reports setup, scan summary and sign-in status inside AI coding agents; Agentic Workflows issues exportable as CSV via UI and API; AI-Powered Detection scheduled scans now honour configured branches.</t>
  </si>
  <si>
    <t xml:space="preserve">- https://semgrep.dev/blog/2025/announcing-ai-noise-filtering-and-triage-memories/
- https://www.prnewswire.com/news-releases/semgrep-recognized-in-the-2025-gartner-magic-quadrant-for-application-security-testing-302583749.html
- https://www.vendr.com/marketplace/semgrep
- https://github.com/semgrep/semgrep
- https://www.augmentcode.com/tools/best-ai-sast-tools</t>
  </si>
  <si>
    <t xml:space="preserve">https://www.sonarsource.com/products/sonarqube/</t>
  </si>
  <si>
    <t xml:space="preserve">SaaS (SonarQube Cloud) / On-prem (SonarQube Server, Data Center); air-gapped Server supported; from Server 2026.5 LTA (Sep 2026) AI CodeFix can run self-deployed and model-agnostic inside the perimeter, and Remediation Agent runs as a container in Kubernetes/Docker (LLM endpoint still required: Bedrock, Azure Foundry, proxy or BYO)</t>
  </si>
  <si>
    <t xml:space="preserve">35+ languages; security taint analysis for Java, C#, JavaScript/TypeScript, Python, PHP, Kotlin, Go, C/C++ (Enterprise+); C/C++ taint analysis GA and new R and MuleSoft DataWeave analysis in Server 2026.5 LTA (Sep 2026); Java 25, Groovy, PowerShell and Gosu added in earlier 2026 Server releases (per release notes); Advanced SAST adds dependency-aware taint into third-party libraries</t>
  </si>
  <si>
    <t xml:space="preserve">- Code quality plus security in one scanner (Clean Code, quality gates)
- Advanced Security add-on: SAST taint, Advanced SAST (dependency-aware dataflow), SCA with reachability (Java, Python, C#), secrets, IaC
- AI CodeFix: LLM fix suggestions in UI/IDE
- SonarQube Remediation Agent (autonomous verified PRs), Hunter Agent (logic, access-control and authentication flaw detection) and Sonar Vortex (agent guidance and in-loop verification): launched on Cloud Jun 2026, GA on Server Enterprise/Data Center in 2026.5 LTA (Sep 2026)
- Embedded SonarQube MCP Server (Server 2026.3) and central LLM provider configuration (Server 2026.5)
- AI Code Assurance and Gitar AI code review (acquired May 2026)
- SonarQube for IDE (ex-SonarLint) connected mode
- Security Hotspots deprecated in favour of standard security issues (2026.5)
- Compliance reports: MISRA C/C++, WCAG, EU CRA</t>
  </si>
  <si>
    <t xml:space="preserve">- IDE: VS Code, JetBrains, Visual Studio, Eclipse (SonarQube for IDE)
- CI/CD: Jenkins, GitHub Actions, GitLab CI, Azure DevOps, Bitbucket Pipelines
- SCM: GitHub, GitLab, Bitbucket, Azure DevOps (PR decoration)
- Ticketing: Jira (Enterprise), webhooks</t>
  </si>
  <si>
    <t xml:space="preserve">Vendor: 7M+ developers, 500k+ organisations; named on site: Barclays, IBM, Samsung, Cognizant (historical); broad sectors</t>
  </si>
  <si>
    <t xml:space="preserve">Forrester Wave SAST Q3 2025: evaluated (Sonar one of 10; placement not disclosed publicly, unverified); Gartner MQ AST 2025: not included (third-party report)</t>
  </si>
  <si>
    <t xml:space="preserve">- Security depth still behind dedicated SAST leaders (fewer sinks/sources, no binary analysis)
- Taint analysis only in Developer edition and above; Advanced Security is an extra SKU
- LoC-based pricing scales steeply on large monoliths
- AI features on Server still need an LLM endpoint (cloud provider, proxy or BYO), which complicates fully air-gapped use; agents limited to Enterprise and Data Center editions
- Vortex is consumption-priced (metered by tool calls), adding a variable cost line
- Rapid AI product churn (Gitar, Vortex, agents) with limited independent validation
- Security Hotspots deprecation (2026.5) requires an admin-run migration of hotspot findings</t>
  </si>
  <si>
    <t xml:space="preserve">Per LoC per instance per year (Server); per LoC per month (Cloud); Advanced Security add-on; Sonar Vortex consumption-based, metered by tool calls (per vendor, Sep 2026); free Community Build</t>
  </si>
  <si>
    <t xml:space="preserve">Cloud Team from $34/month (promo, list $68) for 100k LoC incl. Advanced Security; Server Developer historically from ~$750/yr (100k LoC) to Enterprise ~$20k+/yr (1M LoC); Data Center from ~$130k/yr (third-party figures)</t>
  </si>
  <si>
    <t xml:space="preserve">High (Cloud list) / Medium (Server)</t>
  </si>
  <si>
    <t xml:space="preserve">Teams that want quality and security in one gate, on-prem friendly, cost-effective for smaller codebases; complement rather than replacement for enterprise SAST</t>
  </si>
  <si>
    <t xml:space="preserve">2026-10-13: [Feature launch] Sonar joined the OpenAI Daybreak Defense Network (cyber partner programme), gaining access to OpenAI GPT Cyber Models, which it says expand the guided reasoning behind the SonarQube Hunter Agent for logic and access-control flaw detection. Sonar states it can now deploy the models across multiple products but gives no availability dates; Remediation Agent and Vortex are not named.
2026-09-29: [Release] SonarQube Server 2026.5 LTA brings the agentic features previously limited to SonarQube Cloud to self-managed deployments: Sonar Vortex, Remediation Agent and Hunter Agent are GA for Enterprise and Data Center editions (vendor press release), with central LLM provider configuration (AWS Bedrock, Azure AI Foundry, custom gateway or proxy). Release notes for 2026.5 also list C/C++ taint analysis reaching GA, SCA reachability for Java, C# and Python, new R and MuleSoft DataWeave analysis, and Security Hotspots replaced by standard security issues. As a long-term release it also rolls up earlier 2026 features such as the embedded MCP server (2026.3).</t>
  </si>
  <si>
    <t xml:space="preserve">- https://www.sonarsource.com/products/sonarqube/advanced-security/
- https://www.sonarsource.com/plans-and-pricing/
- https://www.prnewswire.com/news-releases/sonar-launches-sonar-vortex-and-sonarqube-remediation-agent-to-improve-agentic-effectiveness-302814173.html
- https://www.sonarsource.com/company/press-releases/sonar-acquires-gitar/
- https://appsecsanta.com/sonarqube</t>
  </si>
  <si>
    <t xml:space="preserve">JVM bytecode: Java, Kotlin, Groovy, Scala (incl. Android)</t>
  </si>
  <si>
    <t xml:space="preserve">- SpotBugs 4.9.x bytecode bug detector (successor to FindBugs, JDK 21 support)
- FindSecBugs 1.14.0 (Apr 2025): 144 vulnerability types, 826+ API signatures, OWASP Top 10 / CWE mapping
- Framework coverage: Spring MVC, Struts, Tapestry, JSP, Android
- IDE plugins: Eclipse, IntelliJ, NetBeans
- SonarQube and Jenkins integration
- Supported by OWASP Benchmark scorecards</t>
  </si>
  <si>
    <t xml:space="preserve">- IDE: Eclipse, IntelliJ/Android Studio, NetBeans
- CI/CD: Maven, Gradle, Ant, Jenkins
- SCM: any
- Ticketing: none (via SonarQube)</t>
  </si>
  <si>
    <t xml:space="preserve">Widely used in Java enterprises; OWASP Find Security Bugs project</t>
  </si>
  <si>
    <t xml:space="preserve">- Requires compiled bytecode
- Noisy taint detectors, limited inter-procedural precision
- FindSecBugs release cadence slow (annual)
- JVM only
- No triage UI</t>
  </si>
  <si>
    <t xml:space="preserve">Java/Kotlin shops needing a free bytecode security scan in the build; baseline in OWASP Benchmark comparisons</t>
  </si>
  <si>
    <t xml:space="preserve">- https://find-sec-bugs.github.io/
- https://github.com/find-sec-bugs/find-sec-bugs
- https://appsecsanta.com/spotbugs
- https://github.com/spotbugs/spotbugs</t>
  </si>
  <si>
    <t xml:space="preserve">SCA: tool landscape</t>
  </si>
  <si>
    <t xml:space="preserve">SaaS (EU/US) / on-prem scanning and self-hosted options on Pro+ tiers; private registry proxy; FedRAMP ATO claimed on Advanced tier; on-prem/air-gapped AI via Aikido Altar open-weight model and Aikido Machine appliance (Sept 2026); available on AWS Marketplace (AWS Security Competency, Sept 2026)</t>
  </si>
  <si>
    <t xml:space="preserve">npm, PyPI, Maven/Gradle, NuGet, Go, Ruby, PHP, Cargo, Swift, Dart, Elixir, containers, IaC, VMs</t>
  </si>
  <si>
    <t xml:space="preserve">- SCA with reachability analysis
- Aikido Intel: proprietary malware feed (~100k malicious packages/day claimed Apr 2026)
- Safe Chain: blocks malicious packages at install (npm, pip and others)
- AI AutoFix PRs and Aikido Libraries/Images patched versions (Root.io acquisition)
- Licence compliance
- SBOM export; combined SAST, secrets, CSPM, DAST, AI pentest</t>
  </si>
  <si>
    <t xml:space="preserve">IDE (VS Code, JetBrains), GitHub, GitLab, Bitbucket, Azure DevOps, CI (GitHub Actions, GitLab CI, Jenkins), Jira, Linear, Slack, Teams, Vanta/Drata, AWS (EC2, ECR, Lambda; AWS Marketplace)</t>
  </si>
  <si>
    <t xml:space="preserve">Vendor-claimed 100k+ teams; named: Belfius (Belgian bank, Aug 2026); SMB/mid-market and scale-ups; Latio 2026 AppSec Platform Leader; Peer Insights 4.7/5 (15)</t>
  </si>
  <si>
    <t xml:space="preserve">Gartner MQ AST 2025: not rated. Gartner MQ SSCS 2026: not publicly confirmed (unverified). Latio 2026: AppSec Platform Leader</t>
  </si>
  <si>
    <t xml:space="preserve">- Enterprise governance and reporting thinner than Black Duck/Sonatype
- Licence obligation depth limited
- Rapid product sprawl (pentest, cloud, device)
- Reachability language coverage not fully documented
- Flat repo-count pricing awkward for large enterprises</t>
  </si>
  <si>
    <t xml:space="preserve">Flat monthly tiers by repo/image counts: Free, Basic $300/mo, Pro $600/mo, Advanced $600/mo base, Enterprise custom; annual 10% off</t>
  </si>
  <si>
    <t xml:space="preserve">$3,600-$7,200/year for mid-size teams; Enterprise custom</t>
  </si>
  <si>
    <t xml:space="preserve">Mid-market and fast-moving teams wanting low-noise all-in-one AppSec with strong malware defence at low cost</t>
  </si>
  <si>
    <t xml:space="preserve">2026-09-21: [Feature launch] Aikido released Altar, an open-weight security model pruned and quantised from GLM-5.3 (1.51 TB to 328 GB, ~92% of parent vulnerability coverage) that runs on a 4x H200 node with vLLM, published on Hugging Face and offered for on-prem/air-gapped deployment to power Aikido Machine, Aikido Attack, Code Security Audit and Deep PR Review.
2026-09-17: [Feature launch] Aikido achieved AWS Security Competency for Application Security, with the platform integrated with EC2, ECR and Lambda and procurable via AWS Marketplace.</t>
  </si>
  <si>
    <t xml:space="preserve">- https://www.aikido.dev/pricing
- https://en.wikipedia.org/wiki/Aikido_Security
- https://www.aikido.dev/blog/latio-2026-appsec-report-aikido-platform-leader
- https://www.aikido.dev/blog/shai-hulud-npm-resurfaces</t>
  </si>
  <si>
    <t xml:space="preserve">https://air.security/</t>
  </si>
  <si>
    <t xml:space="preserve">SaaS (details not disclosed)</t>
  </si>
  <si>
    <t xml:space="preserve">AI agent skills, plugins, MCP servers and add-ons rather than package ecosystems</t>
  </si>
  <si>
    <t xml:space="preserve">- Discovers agents in the enterprise
- Continuously vets agent skills/add-ons; curated marketplace (claims ~27% of public add-ons risky)
- Blocks interactions with unapproved tools
- Emerged from stealth Sept 2026 with $50M seed (Sequoia, Greenoaks)</t>
  </si>
  <si>
    <t xml:space="preserve">Not disclosed</t>
  </si>
  <si>
    <t xml:space="preserve">not rated</t>
  </si>
  <si>
    <t xml:space="preserve">- Not SCA; overlaps with JFrog AI Catalog, Snyk agent-scan, Endor MCP governance
- No customers disclosed</t>
  </si>
  <si>
    <t xml:space="preserve">Not published</t>
  </si>
  <si>
    <t xml:space="preserve">Watchlist for AI-agent supply chain governance</t>
  </si>
  <si>
    <t xml:space="preserve">- https://techcrunch.com/2026/09/01/air-raises-50m-to-help-companies-vet-the-skills-and-add-ons-ai-agents-use/
- https://www.pymnts.com/news/investment-tracker/2026/ai-agent-security-startup-air-raises-50-million-to-guard-enterprise-supply-chains/
- https://theaiinsider.tech/2026/09/07/ai-security-startup-air-emerges-from-stealth-with-50m-to-secure-the-ai-agent-supply-chain/</t>
  </si>
  <si>
    <t xml:space="preserve">https://www.arnica.io/use-cases/sca</t>
  </si>
  <si>
    <t xml:space="preserve">SaaS (pipelineless, SCM-integrated); no on-prem</t>
  </si>
  <si>
    <t xml:space="preserve">npm, PyPI, Maven, NuGet, Go, Ruby, PHP and others via lockfile/manifest parsing across GitHub, GitLab, Azure DevOps, Bitbucket</t>
  </si>
  <si>
    <t xml:space="preserve">- Pipelineless scanning on every push across all branches
- SCA with reachability, dependency depth, EPSS, KEV re-scoring (June 2026)
- Malicious package protection incl. DepsGuard open-source minimum-release-age hardening
- Licence policies
- ChatOps (Slack/Teams) developer workflows
- AI coding tool and MCP config detection in repos</t>
  </si>
  <si>
    <t xml:space="preserve">GitHub, GitLab, Azure DevOps, Bitbucket, Slack, Teams, Jira; AWS Marketplace</t>
  </si>
  <si>
    <t xml:space="preserve">Mid-market and enterprise; named customers not disclosed; Peer Insights 4.3/5 (5)</t>
  </si>
  <si>
    <t xml:space="preserve">Gartner MQ SSCS 2026: recognised (quadrant not stated by vendor, unverified)</t>
  </si>
  <si>
    <t xml:space="preserve">- Small vendor
- No on-prem
- Reachability coverage and KB depth not benchmarked
- Limited container/binary scanning</t>
  </si>
  <si>
    <t xml:space="preserve">$600/contributing identity/year (AWS Marketplace, 12-month, true-ups)</t>
  </si>
  <si>
    <t xml:space="preserve">$600/dev/year</t>
  </si>
  <si>
    <t xml:space="preserve">Teams wanting zero-pipeline-change coverage and ChatOps-first remediation</t>
  </si>
  <si>
    <t xml:space="preserve">- https://aws.amazon.com/marketplace/pp/prodview-olktftxrmt3ec
- https://www.arnica.io/blog/arnica-gartner-magic-quadrant-software-supply-chain-security
- https://www.arnica.io/blog/reachable-open-source-risk-prioritization</t>
  </si>
  <si>
    <t xml:space="preserve">SaaS (Polaris) / On-prem (Black Duck Hub) / Hybrid; on-prem supports restricted and air-gapped installs with offline KB updates</t>
  </si>
  <si>
    <t xml:space="preserve">100+ ecosystems incl. npm, PyPI, Maven/Gradle, NuGet, Go, Cargo, Ruby, PHP, Swift, C/C++ via snippet/binary matching, containers, firmware/binaries (Binary Analysis)</t>
  </si>
  <si>
    <t xml:space="preserve">- Multi-factor discovery: package manager, signature (CodePrint), snippet and binary matching
- Deepest license compliance and obligations KB (Forrester top scores)
- Transitive analysis with BOM Engine
- Policy engine and Black Duck Security Advisories (BDSA) enriched intel
- SBOM import/export (SPDX, CycloneDX) and SBOM validation
- AI Model Risk Insights: detects Hugging Face models incl. obfuscated, model licenses and model cards (Nov 2025)
- Polaris async SCA notifications for new/reclassified critical and high vulns with project/branch subscriptions (Sept 2026)
- Polaris central rule configuration with org/application/project inheritance, audit trail and self-hosted SCM bulk onboarding with PR-driven remediation (Sept 2026)</t>
  </si>
  <si>
    <t xml:space="preserve">IDE (VS Code, JetBrains, Eclipse, Visual Studio via Assist/Code Sight), Jenkins, GitHub Actions, GitLab, Azure DevOps, Bamboo, TeamCity, Artifactory, Nexus, Jira, ServiceNow, Coverity/Polaris platform; Polaris self-hosted SCM connectors for GitHub Enterprise Server, GitLab self-managed, Azure DevOps Server, Bitbucket Data Center with repository discovery and bulk onboarding (Sept 2026)</t>
  </si>
  <si>
    <t xml:space="preserve">Vendor-claimed: automotive, medical devices, financial services, semiconductors, M&amp;A audit; 'Black Duck Audits' widely used in tech due diligence; named customers not listed on public MQ page</t>
  </si>
  <si>
    <t xml:space="preserve">Gartner MQ AST 2025: Leader (8th consecutive; highest Ability to Execute). Forrester Wave SCA Q4 2024: Leader (highest scores in 9 criteria). Gartner MQ SSCS 2026: Leader (June 2026)</t>
  </si>
  <si>
    <t xml:space="preserve">- Highest-cost tier in market; complex licensing across Hub, Polaris, Binary Analysis, Audits
- Heavy on-prem footprint (Postgres, KB sync) and upgrade effort
- Developer experience and scan speed lag developer-first tools
- PE ownership since 2024 raises roadmap and pricing uncertainty
- Reachability and malicious-package depth trail specialists</t>
  </si>
  <si>
    <t xml:space="preserve">Enterprise subscription; typically by code base size / number of applications or developers; add-ons for Binary Analysis, Snippet, SBOM features</t>
  </si>
  <si>
    <t xml:space="preserve">Not publicly disclosed; market reports commonly cite $50k-$500k+/year for mid-to-large enterprises (unverified)</t>
  </si>
  <si>
    <t xml:space="preserve">Regulated enterprises needing on-prem/air-gap, license-obligation rigor, binary and snippet scanning, M&amp;A audits; strong fit for consulting delivery in BFSI, auto, medtech</t>
  </si>
  <si>
    <t xml:space="preserve">2026-09-23: [Feature launch] Polaris September 2026 update adds async SCA notifications for new or reclassified critical/high vulnerabilities, central rule configuration with hierarchical policy inheritance, self-hosted SCM onboarding (GitHub, GitLab, Azure DevOps Server, Bitbucket) with PR-driven remediation, CWE Top 25 2024/2025, and Signal AI Code Analysis with bring-your-own LLM (OpenAI, Azure OpenAI, AWS Bedrock, GCP Vertex AI) run on customer infrastructure.</t>
  </si>
  <si>
    <t xml:space="preserve">- https://www.blackduck.com/blog/black-duck-leader-2025-gartner-magic-quadrant-application-security-testing.html
- https://news.blackduck.com/2026-06-22-Black-Duck-Named-a-Leader-in-the-Inaugural-2026-Gartner-R-Magic-Quadrant-TM-for-Software-Supply-Chain-Security
- https://www.blackduck.com/blog/forrester-wave-sca.html
- https://clearlake.com/clearlake-and-francisco-partners-complete-acquisition-of-black-duck-software-formerly-known-as-synopsys-software-integrity-group/</t>
  </si>
  <si>
    <t xml:space="preserve">https://www.chainguard.dev/</t>
  </si>
  <si>
    <t xml:space="preserve">SaaS registry; private registry mirroring; EU-jurisdiction Sovereign Artifacts (beta, Sept 2026); air-gap via image mirroring</t>
  </si>
  <si>
    <t xml:space="preserve">Chainguard Containers (1,500+ images), Chainguard Libraries for Java (Maven), Python (PyPI), JavaScript (npm) rebuilt from source; VMs</t>
  </si>
  <si>
    <t xml:space="preserve">- Minimal, daily-rebuilt images with near-zero CVEs
- Signed SBOMs, Sigstore signatures, SLSA provenance
- Libraries rebuilt from source to remove malicious-package exposure
- CVE remediation SLAs
- FIPS variants incl. NIST-validated FIPS 140-3 OpenSSL 3.6 provider with hybrid post-quantum key exchange (cert #5523, Sept 2026; images from Oct 2026); supports FedRAMP, NIS2, CRA evidence
- Sovereign Artifacts: EU-jurisdiction artifact storage and pull (beta, Sept 2026)</t>
  </si>
  <si>
    <t xml:space="preserve">Any OCI registry, Artifactory/Nexus mirroring, Kubernetes, CI; JFrog Curation support for Chainguard remediated Java libraries (Xray 3.157.2, Oct 2026)</t>
  </si>
  <si>
    <t xml:space="preserve">Vendor-claimed: financial services, federal, SaaS; $356M Series D Apr 2025 at $3.5B valuation</t>
  </si>
  <si>
    <t xml:space="preserve">Gartner MQ SSCS 2026: Leader (furthest on Completeness of Vision)</t>
  </si>
  <si>
    <t xml:space="preserve">- Not an SCA scanner; reduces CVEs only for what you consume from Chainguard
- Per-image pricing adds up
- Lock-in to Chainguard build pipeline
- Libraries coverage still limited to three ecosystems</t>
  </si>
  <si>
    <t xml:space="preserve">Per image / per library ecosystem subscription; enterprise contracts</t>
  </si>
  <si>
    <t xml:space="preserve">Not publicly disclosed; reports of $5k-$15k per image/year (unverified)</t>
  </si>
  <si>
    <t xml:space="preserve">Reducing container/library CVE toil at source in regulated and cloud-native estates</t>
  </si>
  <si>
    <t xml:space="preserve">2026-10-15: [Feature launch] JFrog Xray 3.157.2 adds JFrog Curation support for Chainguard remediated Java libraries, so Chainguard Libraries for Java can be curated through Artifactory alongside other sources. Date is that of the JFrog release notes, not a Chainguard announcement; Chainguard's own feed was not checked this run.
2026-09-24: [Feature launch] Chainguard's FIPS Provider for OpenSSL v3.6 received NIST FIPS 140-3 validation (certificate #5523) with approved hybrid post-quantum key exchange, rolling into Chainguard FIPS container images from 1 October 2026.
2026-09-15: [Feature launch] Chainguard announced the Sovereign Artifacts beta, letting organisations store and pull container and library artifacts within EU jurisdiction for data-residency requirements.</t>
  </si>
  <si>
    <t xml:space="preserve">- https://www.chainguard.dev/unchained/chainguard-is-named-a-leader-in-the-2026-gartner-magic-quadrant-for-software-supply-chain-security
- https://www.securityweek.com/chainguard-raises-hefty-356m-series-d-at-3-5-billion-valuation/
- https://www.chainguard.dev/unchained/announcing-chainguards-series-d-building-the-safe-source-for-all-open-source</t>
  </si>
  <si>
    <t xml:space="preserve">https://checkmarx.com/product/cxsca-open-source-scanning/</t>
  </si>
  <si>
    <t xml:space="preserve">SaaS (multi-region) / Hybrid; on-prem legacy CxSAST; Checkmarx One is cloud-first, private-cloud options for large accounts</t>
  </si>
  <si>
    <t xml:space="preserve">npm, PyPI, Maven/Gradle, NuGet, Go, Ruby, PHP, Cargo, Swift, C/C++ (Conan), containers (Checkmarx Container Security), IaC</t>
  </si>
  <si>
    <t xml:space="preserve">- Exploitable Path (reachability from SAST data flow to vulnerable OSS function)
- Malicious package detection with Checkmarx Supply Chain Threat Intelligence
- License compliance
- Transitive analysis and remediation recommendations
- Developer Assist: IDE and agent-native detect/fix incl. Safe Refactor for compromised dependencies
- SBOM export (CycloneDX/SPDX), Secrets, Repository Health, Container Security in one platform</t>
  </si>
  <si>
    <t xml:space="preserve">IDE (VS Code, JetBrains, Visual Studio, Eclipse), GitHub, GitLab, Bitbucket, Azure DevOps, Jenkins, GitHub Actions, Artifactory, Jira, ServiceNow, Slack, Claude Marketplace (Fusion, Triage Assist, Remediation Assist; US Anthropic customers, Oct 2026)</t>
  </si>
  <si>
    <t xml:space="preserve">Vendor-claimed: 1,800+ customers, 60% of Fortune 50; sectors: financial services, government, healthcare; Checkmarx One $150M+ ARR (Oct 2025)</t>
  </si>
  <si>
    <t xml:space="preserve">Gartner MQ AST 2025: Leader (7th time). Forrester Wave SCA Q4 2024: Strong Performer. Gartner MQ SSCS 2026: Leader (June 2026)</t>
  </si>
  <si>
    <t xml:space="preserve">- Exploitable Path requires SAST scan of same project; adds scan time
- Historically higher false-positive volume and slower scans
- Legacy on-prem CxSAST customers face migration to Checkmarx One
- Pricing opaque, enterprise-only
- SCA knowledge base depth below Black Duck/Sonatype for license obligations</t>
  </si>
  <si>
    <t xml:space="preserve">Enterprise subscription per contributing developer; bundles across Checkmarx One engines</t>
  </si>
  <si>
    <t xml:space="preserve">Not publicly disclosed; market estimates $60k-$300k+/year for enterprise bundles (unverified)</t>
  </si>
  <si>
    <t xml:space="preserve">Enterprises already on Checkmarx SAST wanting correlated SAST+SCA exploitable-path reduction and a single platform</t>
  </si>
  <si>
    <t xml:space="preserve">2026-10-15: [Feature launch] Checkmarx joined the Claude Marketplace: US Anthropic customers can apply committed Anthropic spend to three Checkmarx products, Fusion (Checkmarx deterministic scanning engines paired with Claude), Triage Assist (ranks findings by attackability) and Remediation Assist (proposes merge-ready fixes), under one Anthropic invoice. The press release does not state which engines (SAST, SCA, secrets) are covered or give pricing.</t>
  </si>
  <si>
    <t xml:space="preserve">- https://checkmarx.com/blog/checkmarx-named-a-leader-for-the-7th-time-in-the-2025-gartner-magic-quadrant-for-application-security-testing/
- https://checkmarx.com/blog/checkmarx-named-a-leader-in-inaugural-2026-gartner-magic-quadrant-for-software-supply-chain-security/
- https://checkmarx.com/checkmarx-one-developer-assist/
- https://www.businesswire.com/news/home/20251014963115/en/Checkmarx-One-Surpasses-%2524150M-ARR-and-Expands-Global-Leadership-in-AI-Powered-Application-Security
- https://checkmarx.com/press-releases/checkmarx-joins-the-claude-marketplace/</t>
  </si>
  <si>
    <t xml:space="preserve">https://cycode.com/platform/</t>
  </si>
  <si>
    <t xml:space="preserve">SaaS / private cloud; on-prem scanners via connectors; Workstation Protection agentless control deployed via MDM (early access, Sept 2026); air-gap not standard</t>
  </si>
  <si>
    <t xml:space="preserve">npm, PyPI, Maven, NuGet, Go, Ruby, PHP, Cargo, containers, IaC; multi-SCM incl. GitHub, GitLab, Bitbucket, Azure DevOps</t>
  </si>
  <si>
    <t xml:space="preserve">- SCA with reachability and Bulk AI Exploitability Analysis for SAST and SCA (July 2026)
- Workstation Protection: MDM-deployed real-time package installation blocker with cooldown policies and malicious-package threat intel (early access, Sept 2026)
- Pipeline and SCM posture (CI/CD security)
- Malicious package and secrets detection
- Licence policies
- ASPM risk graph correlating code to cloud
- SBOM export</t>
  </si>
  <si>
    <t xml:space="preserve">GitHub, GitLab, Bitbucket, Azure DevOps, Jenkins, CircleCI, Jira, Slack, SIEM, other scanners via ASPM connectors</t>
  </si>
  <si>
    <t xml:space="preserve">Vendor-claimed: financial services, healthcare, tech; Peer Insights 4.7/5 (6)</t>
  </si>
  <si>
    <t xml:space="preserve">Gartner MQ SSCS 2026: Leader (June 2026). Gartner MQ AST 2025: not rated</t>
  </si>
  <si>
    <t xml:space="preserve">- SCA engine less mature than pure-play SCA vendors
- Best value as ASPM, which increases cost
- Licence obligation depth limited
- Fewer public benchmarks for reachability accuracy</t>
  </si>
  <si>
    <t xml:space="preserve">Enterprise subscription per developer / platform</t>
  </si>
  <si>
    <t xml:space="preserve">Enterprises consolidating SCA into ASPM with CI/CD pipeline security and AI-era governance</t>
  </si>
  <si>
    <t xml:space="preserve">2026-09-23: [Feature launch] Cycode launched Workstation Protection (early access), an MDM-deployed control that intercepts package installs on developer machines, blocking known-malicious packages via threat-intel feeds and enforcing cooldown policies, extending ADLC Security to workstations.</t>
  </si>
  <si>
    <t xml:space="preserve">- https://cycode.com/blog/cycode-leader-gartner-magic-quadrant-sscs-2026/
- https://cycode.com/blog/bulk-ai-exploitability-analysis/
- https://appsecsanta.com/cycode</t>
  </si>
  <si>
    <t xml:space="preserve">https://www.echo.ai/</t>
  </si>
  <si>
    <t xml:space="preserve">SaaS registry; mirror to private registries</t>
  </si>
  <si>
    <t xml:space="preserve">Container base and application images; distro-agnostic after Minimus acquisition</t>
  </si>
  <si>
    <t xml:space="preserve">- AI agents rebuild OSS images replacing vulnerable components
- Images ship with SBOM, signatures, attestations
- Minimus assets acquired Aug 2026 for minimal images
- Product line per echo.ai site: Containers, Libraries, VMs, Serverless runtimes, OS packages, Helm charts, EOL support (vendor claim)
- Competes with Chainguard/RapidFort</t>
  </si>
  <si>
    <t xml:space="preserve">OCI registries, Kubernetes, CI; JFrog Curation support for Echo Maven and npm repositories (Xray 3.157.2, Oct 2026); Trivy v0.76.0 recognises Echo-patched Maven, npm and Python package versions (Oct 2026)</t>
  </si>
  <si>
    <t xml:space="preserve">Not disclosed; $15M seed July 2025 (Notable Capital, Hyperwise), $35M Series A Dec 2025 (N47)</t>
  </si>
  <si>
    <t xml:space="preserve">- Very young; Minimus wind-down shows category fragility
- Not an SCA scanner
- Pricing undisclosed</t>
  </si>
  <si>
    <t xml:space="preserve">Subscription per image (not published)</t>
  </si>
  <si>
    <t xml:space="preserve">Alternative to Chainguard for hardened images</t>
  </si>
  <si>
    <t xml:space="preserve">2026-10-15: [Feature launch] Third-party scanner support for Echo-patched packages expanded: JFrog Xray 3.157.2 (15 Oct) adds Curation support for Echo Maven and npm repositories, and Trivy v0.76.0 (14 Oct) detects vulnerabilities in Echo-patched Maven and npm packages (identified by the +echo.N version suffix) in addition to Python. Dates are those of the JFrog and Trivy releases, not an Echo announcement.</t>
  </si>
  <si>
    <t xml:space="preserve">- https://siliconangle.com/2026/08/27/vulnerability-free-container-image-startup-echo-acquires-minimus/
- https://www.citybiz.co/article/725475/echo-secures-15m-seed-funding/
- https://aws.amazon.com/marketplace/pp/prodview-nfcqsctywhhyw
- https://docs.jfrog.com/releases/docs/xray
- https://github.com/aquasecurity/trivy/discussions/11409</t>
  </si>
  <si>
    <t xml:space="preserve">https://www.endorlabs.com/</t>
  </si>
  <si>
    <t xml:space="preserve">SaaS; self-hosted scanner option; on-prem/air-gap not standard (unverified)</t>
  </si>
  <si>
    <t xml:space="preserve">Function-level reachability claimed in 40+ languages incl. Java, Kotlin, JS/TS, Python, Go, C#, Rust, Ruby, PHP, Swift, Scala; C/C++ via Conan (Sept 2026); Bazel rules_apple incl. watchOS/tvOS/visionOS; containers; Package Firewall for npm, PyPI, Maven, NuGet, VS Code extensions and more</t>
  </si>
  <si>
    <t xml:space="preserve">- Function-level reachability across first-party, OSS and containers (claims 92% average noise cut)
- Endor Patches: security-only backports for EOL/unfixed versions
- Package Firewall: 150+ risk signals, blocks malicious packages at install; extended to NuGet and to VS Code extensions via MDM (Sept 2026)
- Threat Center: tenant-wide view of emerging malware, vulnerabilities and AI-model threats (Sept 2026)
- Incremental container scanning and base image remediation with upgrade impact analysis (Sept 2026)
- Policy engine, licence compliance, OSS quality scores; License notice (attribution) reports with license texts and copyright notices (Beta, Oct 2026)
- SBOM Hub (ingest/export CycloneDX/SPDX, VEX; async export)
- AI Coding Agent Governance, MCP/skills security, AI model governance (50 risk metrics), AURI security harness</t>
  </si>
  <si>
    <t xml:space="preserve">IDE (VS Code, JetBrains), GitHub, GitLab, Bitbucket, Azure DevOps, Jenkins, GitHub Actions, Artifactory, Jira, Slack, ASPM connectors</t>
  </si>
  <si>
    <t xml:space="preserve">Vendor-claimed customers: Cursor, Dropbox, OpenAI (marketing site), Peloton, Robinhood; sectors: tech, fintech; $93M Series B Apr 2025 (DFJ Growth, Salesforce Ventures)</t>
  </si>
  <si>
    <t xml:space="preserve">Gartner MQ AST 2025: not rated (unverified). Forrester Wave SCA Q4 2024: not included. Gartner MQ SSCS 2026: Visionary</t>
  </si>
  <si>
    <t xml:space="preserve">- Younger KB and licence obligation depth vs Black Duck
- Deep reachability scans slow on large monorepos
- No air-gap offering
- Seat-based pricing scales quickly with contributors
- Company breadth (SAST, secrets, AI governance) may dilute SCA focus</t>
  </si>
  <si>
    <t xml:space="preserve">Seat-based per contributor (90-day active), Core and Pro editions; free AURI for Developers</t>
  </si>
  <si>
    <t xml:space="preserve">Not publicly disclosed; reseller estimates $30-$50/dev/month (unverified)</t>
  </si>
  <si>
    <t xml:space="preserve">Enterprises drowning in SCA noise that need function-level reachability and agent-era governance; strong for modernising delivery teams</t>
  </si>
  <si>
    <t xml:space="preserve">2026-10-19: [Feature launch] Endor Labs October 2026 release notes (month-level page, exact day not stated; dated to the 19 Oct sweep) add License notice reports (Beta) that list a project's or package's open source dependencies with their license texts and copyright notices to meet attribution requirements when distributing software.
2026-09-27: [Feature launch] Endor Labs September 2026 release notes (month-level page, exact day not stated; dated to match the 27 Sep sweep) add Conan support for C/C++ SCA with transitive resolution from conanfile.txt/conanfile.py and private registries (Artifactory, CodeArtifact), a tenant-wide Threat Center for emerging malware, vulnerabilities and AI-model threats, Package Firewall for VS Code extensions enforced via MDM (Intune, Jamf, Kandji), NuGet Package Firewall, incremental container scanning against a baseline, base image remediation with upgrade impact analysis, malware exposure classification (Definitely vs Potentially Affected), and asynchronous SBOM/VEX export.</t>
  </si>
  <si>
    <t xml:space="preserve">- https://www.endorlabs.com/pricing
- https://techcrunch.com/2025/04/23/endor-labs-which-builds-tools-to-scan-ai-generated-code-for-vulnerabilities-lands-93m/
- https://www.endorlabs.com/learn/endor-labs-is-a-visionary-in-the-2026-gartner-r-magic-quadrant-tm-for-software-supply-chain-security
- https://www.endorlabs.com/learn/best-sca-tools-05b7a</t>
  </si>
  <si>
    <t xml:space="preserve">https://fossa.com/</t>
  </si>
  <si>
    <t xml:space="preserve">SaaS / On-prem (self-hosted enterprise); air-gap supported for enterprise (verify)</t>
  </si>
  <si>
    <t xml:space="preserve">npm, PyPI, Maven/Gradle, NuGet, Go, Ruby, PHP, Cargo, Swift, C/C++ (vendored), containers, binaries (add-on)</t>
  </si>
  <si>
    <t xml:space="preserve">- Licence compliance and attribution reports (core strength)
- Vulnerability SCA with policy
- SBOM generation, import and management (SPDX/CycloneDX)
- Snippet scanning incl. AI-generated code licensing (add-on)
- Binary scanning (add-on)
- Quality checks (outdated packages)</t>
  </si>
  <si>
    <t xml:space="preserve">CLI, GitHub, GitLab, Bitbucket, Azure DevOps, Jenkins, CircleCI, Jira, Slack</t>
  </si>
  <si>
    <t xml:space="preserve">Vendor-claimed: Uber, Zendesk, Twilio, Motorola (marketing); Peer Insights 4.1/5 (8)</t>
  </si>
  <si>
    <t xml:space="preserve">Not rated in Gartner MQ AST 2025 or Forrester Wave SCA 2024; Gartner MQ SSCS 2026: not confirmed</t>
  </si>
  <si>
    <t xml:space="preserve">- Vulnerability intelligence depth below leaders
- No reachability or malware detection
- Limited AI roadmap
- Per-project pricing scales poorly for many small repos
- Smaller vendor</t>
  </si>
  <si>
    <t xml:space="preserve">Free (5 projects), Business $20/project/month annual, Enterprise custom; add-ons for Snippet and Binary</t>
  </si>
  <si>
    <t xml:space="preserve">Business ~$240/project/year; Enterprise custom</t>
  </si>
  <si>
    <t xml:space="preserve">Licence compliance, OSPO and SBOM programmes rather than vulnerability-first security</t>
  </si>
  <si>
    <t xml:space="preserve">- https://fossa.com/pricing/
- https://appsecsanta.com/fossa
- https://www.gartner.com/reviews/market/software-supply-chain-security</t>
  </si>
  <si>
    <t xml:space="preserve">https://docs.github.com/en/code-security/dependabot</t>
  </si>
  <si>
    <t xml:space="preserve">SaaS (github.com, GHE Cloud) / On-prem (GitHub Enterprise Server 3.x with Dependabot via Actions runners); air-gap possible with GHES but advisory sync needs connectivity</t>
  </si>
  <si>
    <t xml:space="preserve">npm, PyPI, Maven/Gradle, NuGet, Go, RubyGems, Composer, Cargo, Hex, pub, Swift, Docker, GitHub Actions, Terraform, devcontainers</t>
  </si>
  <si>
    <t xml:space="preserve">- Dependabot alerts from GitHub Advisory Database
- Dependabot security and version update PRs
- Dependency Review Action blocks PRs introducing vulnerable/licence-violating deps
- Open source license compliance (GA Oct 2026, GHEC with Code Security): enterprise license policy enforced via rulesets, PR annotations for non-compliant dependencies, Enterprise Open-Source License Manager role, license data in dependency graph and SBOM exports, package compliance API for coding agents
- Dependency graph and SBOM export (SPDX)
- Copilot Autofix for code scanning (SCA fixes via Dependabot PRs)
- Auto-triage rules and grouped updates
- Dependabot runner type, labels and runner groups configurable per organisation and per repository (repository level GA Sept 2026)
- Anonymous organization-level private registries for Dependabot (Oct 2026)</t>
  </si>
  <si>
    <t xml:space="preserve">Native to GitHub; GitHub Actions; webhooks/API to Jira, ServiceNow, Slack; exports to Dependency-Track and ASPM tools</t>
  </si>
  <si>
    <t xml:space="preserve">Universal across sectors; 100M+ developers on GitHub; Peer Insights 4.5/5 (35 ratings)</t>
  </si>
  <si>
    <t xml:space="preserve">Gartner MQ AST 2025: not rated as a standalone SCA (GitHub appears in AST MQ, position unverified). Forrester Wave SCA Q4 2024: Challenger</t>
  </si>
  <si>
    <t xml:space="preserve">- No reachability or exploitability context
- Licence compliance policy enforcement GA Oct 2026 but limited to GitHub Enterprise Cloud with Code Security; no obligation or attribution-notice depth
- PR noise without grouping tuning
- Weak on containers and binaries
- GitHub-only; multi-SCM enterprises need another tool
- Dependency Review requires paid Code Security ($30/committer/month)</t>
  </si>
  <si>
    <t xml:space="preserve">Dependabot alerts/updates free; GitHub Code Security $30/active committer/month (unbundled from GHAS Apr 2025); Secret Protection $19</t>
  </si>
  <si>
    <t xml:space="preserve">$0 for Dependabot; ~$360/committer/year for Code Security</t>
  </si>
  <si>
    <t xml:space="preserve">GitHub-native teams as a baseline; pair with a reachability or malware-focused tool for enterprise coverage</t>
  </si>
  <si>
    <t xml:space="preserve">2026-10-16: [Feature GA] Open source license compliance is generally available for GitHub Enterprise Cloud (including data-resident GHEC) repositories with Code Security enabled: an enterprise-wide license policy is enforced through rulesets with a 'Require license compliance results before merging' condition, pull requests adding non-compliant dependencies are annotated, a new Enterprise Open-Source License Manager role approves exceptions, and dependency graph and SBOM exports now include license data. Since the June public preview GitHub added audit log events, policy download/update APIs and a package compliance check API intended for coding agents.
2026-10-13: [Feature launch] GitHub improved detection of withdrawn Dependabot alerts so alerts tied to retracted advisories are resolved more accurately (changelog title; body not read).
2026-10-12: [Feature launch] Dependabot now supports anonymous organization-level private registries, so organisation-wide registry configurations can be used without stored credentials (changelog title; body not read).
2026-09-30: [Feature launch] npm trusted publishing configurations can now be given opt-in permission to manage dist-tags with short-lived OIDC credentials, so maintainers no longer need a separate long-lived token for tag changes after releases or rollbacks.
2026-09-29: [Feature GA] Repository administrators can now set the runner type, custom labels and runner groups for Dependabot version and security updates per repository (GA), extending the earlier organisation-level controls across self-hosted and larger GitHub-hosted runners.
2026-09-18: [Feature launch] npm granular access tokens gain a 'Read and write (stage only)' permission so CI automation can stage package versions for maintainer review without direct publish rights, reducing token-theft blast radius in the registry supply chain.</t>
  </si>
  <si>
    <t xml:space="preserve">- https://github.com/resources/insights/evolving-github-advanced-security
- https://docs.github.com/en/enterprise-cloud@latest/code-security/getting-started/github-security-features
- https://sdtimes.com/security/github-unbundling-its-github-advanced-security-offering-starting-in-april/
- https://www.gartner.com/reviews/market/software-supply-chain-security
- https://github.blog/changelog/2026-10-16-open-source-license-compliance-generally-available</t>
  </si>
  <si>
    <t xml:space="preserve">SaaS (AppScan on Cloud) / On-prem, sovereign cloud, hybrid and air-gapped (AppScan 360 cloud-native platform)</t>
  </si>
  <si>
    <t xml:space="preserve">Vendor claims 30+ languages across the platform; SCA covers common package managers (npm, PyPI, Maven, NuGet, Go and others per SCA documentation, exact list not verified because help pages returned 404) plus container/image scanning</t>
  </si>
  <si>
    <t xml:space="preserve">- Open-source vulnerability detection and third-party component inventory
- SCA scanning of SCM repositories and ZIP archives directly from manifest files when build artifacts are unavailable (AppScan on Cloud, Sept 2026)
- Container and image scanning
- Licence reporting and SBOM (CycloneDX) generation (verify per edition)
- Unified SAST, DAST, IAST, SCA, API security in one platform
- RapidFix agentic AI triage and fix recommendations with org and asset-group admin controls (Sept 2026)
- Bulk SCM repository onboarding and multi-application reports (Sept 2026)
- AppScan MCP server for natural-language access to findings</t>
  </si>
  <si>
    <t xml:space="preserve">IDE (VS Code, Eclipse, IntelliJ, Visual Studio), Jenkins, Azure DevOps, GitHub Actions, GitLab CI, Jira, ServiceNow, CodeSweep for developers</t>
  </si>
  <si>
    <t xml:space="preserve">Vendor-claimed: banking, insurance, government, telecom; 2026 Gartner Voice of the Customer Customers' Choice; named customers not listed on public pages</t>
  </si>
  <si>
    <t xml:space="preserve">Gartner MQ AST 2025: Leader (Oct 2025). Forrester Wave SCA Q4 2024: not included. Gartner MQ SSCS 2026: not publicly confirmed (unverified)</t>
  </si>
  <si>
    <t xml:space="preserve">- SCA is a secondary module to SAST/DAST heritage; no reachability or malicious-package intelligence documented
- SCA documentation is thin; the AppScan on Cloud 'What's new' page is the most reliable dated source
- Limited third-party benchmarks of SCA accuracy
- Pricing not published</t>
  </si>
  <si>
    <t xml:space="preserve">Enterprise subscription per application/scan or per user across AppScan 360 / on Cloud</t>
  </si>
  <si>
    <t xml:space="preserve">Existing HCL AppScan (ex-IBM) estates, sovereign or air-gapped deployments wanting one vendor for SAST, DAST, IAST and SCA</t>
  </si>
  <si>
    <t xml:space="preserve">2026-09-27: [Feature launch] AppScan on Cloud September 27 release lets SCA scan SCM repositories and ZIP archives directly, resolving dependencies from manifest files when build artifacts are unavailable; same release adds RapidFix admin controls at org/asset-group level, AI SAST business-logic flaw detection, bulk SCM repository onboarding, multi-application reports and DAST issue retest.</t>
  </si>
  <si>
    <t xml:space="preserve">- https://www.hcl-software.com/appscan
- https://www.hcl-software.com/appscan/gartner-application-security-testing-report-2025
- https://www.gartner.com/reviews/market/application-security-testing</t>
  </si>
  <si>
    <t xml:space="preserve">https://jfrog.com/xray/</t>
  </si>
  <si>
    <t xml:space="preserve">SaaS / On-prem (self-hosted) / Hybrid; air-gap supported with offline Xray DB sync</t>
  </si>
  <si>
    <t xml:space="preserve">All Artifactory package types: npm, PyPI, Maven, NuGet, Go, Docker/OCI, Conan, Cargo, RubyGems, Composer, Alpine/Debian/RPM, Hugging Face models, generic binaries</t>
  </si>
  <si>
    <t xml:space="preserve">- Xray SCA on binaries in Artifactory with deep recursive scanning
- Contextual Analysis (Advanced Security): exploitability/reachability for containers and applications
- Curation: block malicious, licence-violating, risky packages before entering Artifactory, incl. Debian and Ubuntu packages (Xray 3.154.4, Sept 2026), per-policy handling of packages pending Catalog analysis, Integrity Violation condition for checksum mismatches against the JFrog Catalog, and curation of Chainguard remediated Java libraries and Echo Maven/npm repositories (Xray 3.157.2, Oct 2026)
- CISA KEV as a security policy criterion (Xray 3.154, Sept 2026)
- Malicious package identification and JFrog Security Research feed
- SBOM export and AppTrust governance/policy-as-code
- AI Catalog, MCP Registry, Skills Registry, Agent Guard (Sept 2026)
- Threat Hub feed in Xray Overview with impact analysis, and CVSS v4 plus JFrog Research Severity in vulnerability report exports (Xray 3.155.3, Sept 2026)
- Oracle Linux OS package detection in images and RPMs (Xray 3.156.13, Oct 2026)</t>
  </si>
  <si>
    <t xml:space="preserve">Artifactory native, IDE (VS Code, JetBrains, Visual Studio, Eclipse), Jenkins, GitHub Actions, GitLab CI, Azure DevOps, Frogbot PRs, Jira, ServiceNow, Slack, SIEM</t>
  </si>
  <si>
    <t xml:space="preserve">Vendor-claimed: 6,600+ customers incl. 83 of Fortune 100; sectors: tech, financial services, defence, automotive</t>
  </si>
  <si>
    <t xml:space="preserve">Gartner MQ AST 2025: Visionary. Forrester Wave SCA Q4 2024: Strong Performer. Gartner MQ SSCS 2026: Leader (highest Ability to Execute per vendor)</t>
  </si>
  <si>
    <t xml:space="preserve">- Value hinges on Artifactory adoption; weak standalone
- Xray false-positive volume without Advanced Security add-on
- Complex SKU stack (Xray, JAS, Curation, AppTrust, AI Catalog)
- Source-level reachability limited vs Endor/Semgrep
- Self-hosted Xray resource heavy</t>
  </si>
  <si>
    <t xml:space="preserve">Subscription tiers (Pro X, Enterprise X, Enterprise+) priced by consumption/servers; Curation and JAS as add-ons</t>
  </si>
  <si>
    <t xml:space="preserve">SaaS Pro X from ~$150/month (Xray basic); Enterprise+ six figures typical (unverified)</t>
  </si>
  <si>
    <t xml:space="preserve">Artifactory-centric enterprises wanting binary-level SCA, ingestion curation and AI-asset governance in one control plane</t>
  </si>
  <si>
    <t xml:space="preserve">2026-10-15: [Release] Xray 3.157.2 adds a Curation Integrity Violation condition that blocks cached packages whose checksum does not match the JFrog Catalog, extends Curation to Chainguard remediated Java libraries and to Echo Maven and npm repositories, adds Curation Audit filters, Oracle Linux OS package detection for Docker images and RPM files, faster download-blocking checks and better impact-path lookups when SBOM is enabled. Xray 3.156.9 (11 Oct) adds JFrog Advanced Security support on RHEL 10; 3.155.12 (14 Oct) fixes Contextual Analysis and Exposures on ARM64 nodes.
2026-09-27: [Release] Xray 3.155.3 adds Threat Hub to the Xray Overview (enabled by default, shows each feed item's primary source link, impact analysis for entitled users), adds JFrog Research Severity and CVSS v4 score and vector columns to vulnerability report CSV exports, lets source code scans run with Xray permissions only, and speeds up violation processing.
2026-09-14: [Release] Xray 3.154.4 extends JFrog Curation to Debian and Ubuntu packages with improved download URL handling and adds input validation hardening; 3.154.8 (16 Sept) reduces unused RabbitMQ transient queues.
2026-09-02: [Feature GA] JFrog Agent Guard GA</t>
  </si>
  <si>
    <t xml:space="preserve">- https://jfrog.com/gartner-magic-quadrant/
- https://jfrog.com/press-room/jfrog-embeds-security-into-the-agentic-workforce/
- https://jfrog.com/blog/jfrog-recognized-visionary-gartner-2025-magic-quadrant-ast-report/
- https://jfrog.com/advanced-security/</t>
  </si>
  <si>
    <t xml:space="preserve">https://konvu.com/</t>
  </si>
  <si>
    <t xml:space="preserve">SaaS; integrates with existing scanners</t>
  </si>
  <si>
    <t xml:space="preserve">Scanner-agnostic; agent checks across code, config and runtime signals</t>
  </si>
  <si>
    <t xml:space="preserve">- AI-native vulnerability triage agents on top of existing SCA/SAST
- Evidence-backed exploitability verdicts
- Prioritisation delivered into existing workflows
- Infosecurity Europe Cyber Startup Award June 2026</t>
  </si>
  <si>
    <t xml:space="preserve">Connectors to SCA/SAST tools, Jira, Slack (per vendor)</t>
  </si>
  <si>
    <t xml:space="preserve">Not disclosed; seed round led by Emblem (amount undisclosed)</t>
  </si>
  <si>
    <t xml:space="preserve">- Not an SCA scanner, needs an upstream tool
- Early stage
- Pricing undisclosed</t>
  </si>
  <si>
    <t xml:space="preserve">Overlay triage for teams with existing SCA noise problems</t>
  </si>
  <si>
    <t xml:space="preserve">2026-09-24: [Feature launch] Konvu described its AI reproduction pipeline, which deploys the affected software version in an isolated environment, runs tiered automated exploit attempts and returns an evidence-backed exploitability verdict; bug bounty reproduction is shipped while the SCA and SAST paths are rolling out in early access to customers (vendor claim, vendor blog).</t>
  </si>
  <si>
    <t xml:space="preserve">- https://www.infosecurity-magazine.com/news/konvu-wins-cyber-startup-award/
- https://www.crunchbase.com/organization/konvu
- https://konvu.com/about</t>
  </si>
  <si>
    <t xml:space="preserve">https://www.lineaje.com/</t>
  </si>
  <si>
    <t xml:space="preserve">SaaS / on-prem (claimed for government); verify</t>
  </si>
  <si>
    <t xml:space="preserve">Source, containers and binaries; SBOM/AIBOM/CBOM ingestion across ecosystems</t>
  </si>
  <si>
    <t xml:space="preserve">- SBOM360: agentic AI finds and fixes vulnerabilities in source and containers
- xBOM Manager: SBOM, AIBOM, CBOM, FBOM management for compliance
- Gold Open Source: pre-patched packages and images
- UnifAI: AI asset discovery and agentic app security
- Dependency attestation and 'unknown' component detection</t>
  </si>
  <si>
    <t xml:space="preserve">CI/CD, registries, Jira; details limited</t>
  </si>
  <si>
    <t xml:space="preserve">US federal and defence contractors, enterprise; $20M Series A July 2024</t>
  </si>
  <si>
    <t xml:space="preserve">Gartner MQ SSCS 2026: Visionary</t>
  </si>
  <si>
    <t xml:space="preserve">- Small install base
- Heavy marketing claims, few public benchmarks
- Pricing undisclosed
- Developer-workflow integrations thinner than SCA leaders</t>
  </si>
  <si>
    <t xml:space="preserve">Enterprise subscription</t>
  </si>
  <si>
    <t xml:space="preserve">SBOM/xBOM compliance programmes, US federal supply chains</t>
  </si>
  <si>
    <t xml:space="preserve">- https://www.aol.com/articles/lineaje-recognized-visionary-2026-gartner-154300000.html
- https://www.securityweek.com/software-supply-chain-security-firm-lineaje-raises-20m-in-series-a-funding/
- https://www.lineaje.com/</t>
  </si>
  <si>
    <t xml:space="preserve">https://www.mend.io/mend-sca/</t>
  </si>
  <si>
    <t xml:space="preserve">SaaS; self-hosted Renovate Enterprise; on-prem SCA via agent-based scanning (limited); no full air-gap SaaS</t>
  </si>
  <si>
    <t xml:space="preserve">200+ languages/ecosystems claimed: npm, Bun (bun.lock/bun.lockb, added Sept 2026), PyPI, Maven/Gradle, NuGet, Go, Ruby, PHP, Cargo, Swift, C/C++, containers, images (malicious package detection extended to container images July 2026)</t>
  </si>
  <si>
    <t xml:space="preserve">- SCA Reachability (Java, JS, Python and more)
- License compliance and policy automation
- Renovate: dependency update PRs at scale (open source, 100M+ PRs) and 'Least Vulnerable Package' upgrade strategy
- Malicious package detection incl. container images (GA July 2026)
- Mend AI: detects AI models, frameworks, inference providers; Mend AI Premium behavioural risk testing (GA Mar 2025)
- SBOM export (SPDX/CycloneDX)</t>
  </si>
  <si>
    <t xml:space="preserve">IDE (VS Code, JetBrains, Visual Studio, Eclipse), GitHub/GitLab/Bitbucket/Azure Repos apps, Jenkins, Azure Pipelines, GitHub Actions, Artifactory, Nexus, Jira, ServiceNow, Microsoft Defender for Cloud integration</t>
  </si>
  <si>
    <t xml:space="preserve">Vendor-claimed: financial services, healthcare, tech; Peer Insights shows 116 ratings (4.2/5), highest volume in SSCS market; named customers on mend.io include Microsoft, Comcast, Siemens (marketing, unverified)</t>
  </si>
  <si>
    <t xml:space="preserve">Gartner MQ AST 2025: not confirmed as Leader (unverified). Forrester Wave SCA Q4 2024: Strong Performer. Gartner MQ SSCS 2026: not publicly confirmed (unverified)</t>
  </si>
  <si>
    <t xml:space="preserve">- Platform sprawl: SCA, SAST, Renovate, Mend AI, AI Prompt Hardening dilute focus
- Reachability coverage narrower than Endor/Semgrep
- Historic UI and reporting complaints (WhiteSource legacy)
- Pricing not transparent; per-contributor true-ups
- On-prem story weaker than Black Duck/Sonatype</t>
  </si>
  <si>
    <t xml:space="preserve">Per active contributor subscription; Renovate free (OSS) with paid Renovate Enterprise; AWS Marketplace listing</t>
  </si>
  <si>
    <t xml:space="preserve">Not publicly disclosed; third-party estimates $20-$40/dev/month at volume (Low confidence)</t>
  </si>
  <si>
    <t xml:space="preserve">Teams that want dependency hygiene at scale (Renovate) plus SCA and AI-component inventory; good fit for Azure-centric clients via Defender integration</t>
  </si>
  <si>
    <t xml:space="preserve">2026-09-27: [Release] Mend SCA 26.9.1 adds Bun package manager support (open beta) for JavaScript dependency detection, optimises reachability engine memory use, improves Java multi-module Maven accuracy and per-module Gradle timeout handling, and fixes Jira issue creation for application-level roles.</t>
  </si>
  <si>
    <t xml:space="preserve">- https://docs.mend.io/platform/latest/mend-platform-release-notes
- https://www.businesswire.com/news/home/20260310509064/en/Mend.io-Launches-System-Prompt-Hardening-Industrys-First-Dedicated-Solution-to-Secure-the-AI-Instruction-Layer
- https://learn.microsoft.com/en-us/azure/defender-for-cloud/integration-mend-io
- https://www.gartner.com/reviews/market/software-supply-chain-security</t>
  </si>
  <si>
    <t xml:space="preserve">https://www.opentext.com/products/core-software-composition-analysis</t>
  </si>
  <si>
    <t xml:space="preserve">SaaS (NA, EMEA, APJ); on-prem SCA via Fortify SCA/Sonatype partnership historically</t>
  </si>
  <si>
    <t xml:space="preserve">npm, PyPI, Maven, NuGet, Go, Cargo, Gem, Composer; containers via Fortify</t>
  </si>
  <si>
    <t xml:space="preserve">- Current vendor page name is OpenText Fortify Software Composition Analysis, trial still served from debricked.com; the earlier Sonatype-powered Fortify SCA OEM has been superseded by the Debricked engine (transition unverified for legacy on-prem Fortify SSC customers)
- Debricked engine: vulnerability, licence and health (contributor/popularity) scoring over 40M OSS projects with ML matching
- Open Source Select: curated approved-component catalog with sourcing-time gating and override workflow
- Automated fix PRs
- SBOM export
- Application Security Aviator (AI) suggests catalog-compatible alternatives</t>
  </si>
  <si>
    <t xml:space="preserve">GitHub, GitLab, Bitbucket, Azure DevOps, Jenkins, GitHub Actions, GitLab CI, Jira, Azure Boards, ServiceNow</t>
  </si>
  <si>
    <t xml:space="preserve">OpenText Fortify base: government, financial services, telecom</t>
  </si>
  <si>
    <t xml:space="preserve">OpenText: Gartner MQ AST 2025 Leader (11th year, driven by Fortify); Forrester SCA Wave 2024: not listed under OpenText</t>
  </si>
  <si>
    <t xml:space="preserve">- Naming churn (Debricked, Fortify SCA, Core SCA, Core Application Security) confuses buyers and roadmap visibility is low
- Reachability absent
- SCA-specific Aviator features not documented
- Free/Premium/Enterprise tiers priced separately from Fortify licences
- Best only in Fortify estates</t>
  </si>
  <si>
    <t xml:space="preserve">SaaS subscription by application/repository count and catalog scope</t>
  </si>
  <si>
    <t xml:space="preserve">Fortify-standardised enterprises wanting curated OSS catalog governance</t>
  </si>
  <si>
    <t xml:space="preserve">- https://www.opentext.com/products/core-software-composition-analysis
- https://www.opentext.com/products/application-security-aviator
- https://www.merito.com/vendors/opentext/core-open-source-select
- https://www.nasdaq.com/press-release/opentext-named-leader-2025-gartnerr-magic-quadranttm-application-security-testing</t>
  </si>
  <si>
    <t xml:space="preserve">SaaS control plane with on-prem/registry proxies (Nexus, Artifactory, Azure Artifacts)</t>
  </si>
  <si>
    <t xml:space="preserve">npm, PyPI, Maven, NuGet, RubyGems, Cargo, Go (Phylum heritage); registry-agnostic via proxies</t>
  </si>
  <si>
    <t xml:space="preserve">- Ingestion-time blocking of malicious, typosquat and hallucinated packages
- Author reputation and package behaviour heuristics
- Policy engine per registry/project
- Analytics for Package Firewall dashboard
- Integrated with Veracode SCA findings</t>
  </si>
  <si>
    <t xml:space="preserve">Nexus, Artifactory, Azure Artifacts, npm/pip/maven proxies, Veracode platform</t>
  </si>
  <si>
    <t xml:space="preserve">Sold to Veracode base; named customers not disclosed</t>
  </si>
  <si>
    <t xml:space="preserve">Not separately rated; see Veracode</t>
  </si>
  <si>
    <t xml:space="preserve">- Standalone Phylum brand discontinued; roadmap tied to Veracode
- Requires registry proxy architecture
- Pricing separate from SCA</t>
  </si>
  <si>
    <t xml:space="preserve">Add-on subscription to Veracode platform</t>
  </si>
  <si>
    <t xml:space="preserve">Veracode customers needing install-time malware blocking</t>
  </si>
  <si>
    <t xml:space="preserve">- https://www.businesswire.com/news/home/20250106967344/en
- https://www.veracode.com/products/veracode-package-firewall/
- https://docs.veracode.com/r/Analytics_for_package_firewall</t>
  </si>
  <si>
    <t xml:space="preserve">https://scantist.com/products/sca</t>
  </si>
  <si>
    <t xml:space="preserve">SaaS; on-prem for Enterprise tier</t>
  </si>
  <si>
    <t xml:space="preserve">Source and binary SCA: Java, JS, Python, C/C++, Go, .NET and others; firmware/binaries; containers (verify per ecosystem)</t>
  </si>
  <si>
    <t xml:space="preserve">- Source and binary SCA (NTU spin-out heritage)
- SAST, IaC, code snippet analysis, fuzzing in AppDefender
- Licence compliance
- SBOM export
- AI remediation assistance (Premium+)
- PAIStrike autonomous pentest agents</t>
  </si>
  <si>
    <t xml:space="preserve">GitHub Marketplace app, GitLab, Jenkins, Azure DevOps, Jira</t>
  </si>
  <si>
    <t xml:space="preserve">Vendor-claimed: APAC government, telecom, financial services; named customers not disclosed</t>
  </si>
  <si>
    <t xml:space="preserve">- Limited global presence and analyst coverage
- Pricing for Basic/Premium not published
- Reachability not documented
- Small ecosystem of integrations</t>
  </si>
  <si>
    <t xml:space="preserve">Free (1 user, 5 projects); Basic/Premium tiers; Enterprise custom with on-prem; PAIStrike credit-based</t>
  </si>
  <si>
    <t xml:space="preserve">Not publicly disclosed for SCA tiers</t>
  </si>
  <si>
    <t xml:space="preserve">APAC clients needing binary SCA and local vendor presence</t>
  </si>
  <si>
    <t xml:space="preserve">- https://scantist.com/pricing
- https://scantist.com/products/sca
- https://github.com/marketplace/scantist-sca</t>
  </si>
  <si>
    <t xml:space="preserve">https://semgrep.dev/products/semgrep-supply-chain/</t>
  </si>
  <si>
    <t xml:space="preserve">SaaS with local scanning (code never leaves CI); hybrid; no air-gap SaaS</t>
  </si>
  <si>
    <t xml:space="preserve">Reachability for Java, Kotlin, JS/TS, Python, Go, Ruby, C#, PHP, Scala, Swift, Rust (lockfile-only for some); Maven, npm, PyPI, NuGet, Go, RubyGems, Cargo, Composer, Swift PM</t>
  </si>
  <si>
    <t xml:space="preserve">- Code-level reachability using Semgrep rules written per advisory
- Malicious dependency detection
- Licence compliance
- Transitive analysis and dependency graph
- Semgrep Assistant AI triage and remediation guidance
- SBOM export (CycloneDX)
- Malware Detection with incident-specific rules and automated rescans plus Response Automation policies (Jira, Slack, webhooks, rescans) GA Sept 2026; Malware Firewall via Semgrep Guardian (private beta)</t>
  </si>
  <si>
    <t xml:space="preserve">GitHub, GitLab, Bitbucket, Azure DevOps, CI (any), IDE (VS Code, JetBrains), Jira, Slack, Linear</t>
  </si>
  <si>
    <t xml:space="preserve">Vendor-claimed: Snowflake, Dropbox, Figma, Lyft (marketing); Peer Insights listing</t>
  </si>
  <si>
    <t xml:space="preserve">Gartner MQ AST 2025: not rated (unverified). Gartner MQ SSCS 2026: not confirmed</t>
  </si>
  <si>
    <t xml:space="preserve">- Reachability rules are hand-authored per CVE so coverage lags in new advisories
- Weaker licence and SBOM management
- No container scanning depth
- No on-prem</t>
  </si>
  <si>
    <t xml:space="preserve">Team $35/contributor/month (Supply Chain bundled, free up to 10 contributors); Enterprise custom</t>
  </si>
  <si>
    <t xml:space="preserve">~$420/contributor/year</t>
  </si>
  <si>
    <t xml:space="preserve">Teams already on Semgrep SAST wanting low-noise SCA with code-level reachability</t>
  </si>
  <si>
    <t xml:space="preserve">2026-09-24: [Feature GA] Semgrep Supply Chain added Malware Detection (AI-assisted, expert-verified incident rules added within minutes plus automated full rescans) and Response Automation (org-wide policies that open Jira tickets, send Slack alerts or trigger rescans) as GA; a Malware Firewall embedded in Semgrep Guardian that blocks malicious packages at install is in private beta.
2026-09-14: [Release] Week of 14 Sept release improves Supply Chain scan-configuration request performance, adds Semgrep Guardian status reporting for AI coding agents (setup status plus scan summary), CSV export for Multimodal workflow issues, and corrects Autofix messaging for AWS Bedrock provider availability.</t>
  </si>
  <si>
    <t xml:space="preserve">- https://dev.to/rahulxsingh/semgrep-pricing-in-2026-open-source-vs-team-vs-enterprise-costs-3dic
- https://semgrep.dev/docs/release-notes/march-2026
- https://www.gartner.com/reviews/product/semgrep-supply-chain</t>
  </si>
  <si>
    <t xml:space="preserve">https://snyk.io/product/open-source-security-management/</t>
  </si>
  <si>
    <t xml:space="preserve">SaaS (multi-region incl. EU/AU tenants); Snyk Broker for private SCM/registry connectivity; custom CA certificate upload for internal SCM/registry endpoints (Sept 2026); no true air-gap</t>
  </si>
  <si>
    <t xml:space="preserve">npm, PyPI, Maven/Gradle, NuGet, Go, RubyGems, Composer, Cocoapods, Swift PM, Cargo (Rust), Elixir/Hex, C/C++ (unmanaged), containers (Snyk Container)</t>
  </si>
  <si>
    <t xml:space="preserve">- Reachability analysis (Java, JS/TS, Python, Go per docs, Nov 2025 update)
- License compliance policies
- Transitive dependency graph with fix-path
- Auto-remediation / fix PRs and Snyk Agent Fix
- Policy engine and priority score (CVSS, EPSS, exploit maturity, reachability)
- SBOM export (CycloneDX/SPDX) and 'snyk aibom' AI-BOM (CycloneDX 1.6, June 2026)</t>
  </si>
  <si>
    <t xml:space="preserve">IDE (VS Code, JetBrains, Visual Studio, Eclipse), CLI, GitHub/GitLab/Bitbucket/Azure Repos, CI (Jenkins, GitHub Actions, GitLab CI, Azure Pipelines, CircleCI), registries (Artifactory, Nexus, ECR/ACR/GCR, Docker Hub), Jira (app moving from Atlassian Connect to Forge, migration from Oct 2026), ServiceNow, Slack</t>
  </si>
  <si>
    <t xml:space="preserve">Vendor-claimed: financial services, SaaS, retail, public sector; named logos on snyk.io include Salesforce, Atlassian, Google, Twilio, Asurion (marketing site, not independently verified)</t>
  </si>
  <si>
    <t xml:space="preserve">Gartner MQ AST 2025: Leader (Oct 2025). Forrester Wave SCA Q4 2024: Leader. Gartner MQ SSCS 2026: position not publicly confirmed by vendor as of this check (unverified)</t>
  </si>
  <si>
    <t xml:space="preserve">- Enterprise moves to credit-based pricing (1 credit = $1) which is hard to forecast
- Reachability limited to a subset of languages
- No on-prem/air-gap option
- Malicious package detection weaker than Socket/Phylum-class tools
- Noise complaints on transitive findings in large monorepos (Peer Insights 4.0/5, 15 ratings)</t>
  </si>
  <si>
    <t xml:space="preserve">Free tier; Team from $25/dev/month (up to 10 devs); Enterprise credit-based (1 credit = $1) priced per capability per active contributor</t>
  </si>
  <si>
    <t xml:space="preserve">Team ~$300/dev/year list; Enterprise typically $30k-$150k+/year for 100-500 devs (market estimate, not vendor-disclosed)</t>
  </si>
  <si>
    <t xml:space="preserve">Developer-first teams standardising on one platform (SCA+SAST+Container+IaC) with strong IDE and agent workflows; not for air-gapped clients</t>
  </si>
  <si>
    <t xml:space="preserve">2026-10-08: [Release] Snyk CLI v1.1308.0 adds HTML report output (--html, --html-file-output) to snyk test, snyk code test and snyk secrets test, changes the experimental snyk agent-scan command to report risk indicators instead of issue codes (breaking for scripts that parse its JSON), and fixes Maven/Gradle SBOM stalls and .NET scanning issues. A follow-up v1.1308.1 making snyk test HTML reports available without preview flags was posted to updates.snyk.io a few days later (exact date not shown on the feed).
2026-09-23: [Feature launch] Snyk Agent Supply Chain Security (ADS) installer now ships as signed macOS .pkg and Windows .msi packages that register their own scheduled job, removing the dependency on an MDM tool for deployment.
2026-09-23: [Release] Snyk for Jira is moving from Atlassian Connect to Atlassian Forge: new installations use the Forge version from 30 Sep 2026 and existing installations are migrated during October, with permissions, configuration and existing Jira issues carried over (per vendor).
2026-09-23: [Release] Snyk CLI v1.1307.4 adds an experimental 'snyk studio' command that sets up Snyk Studio in AI coding tools (Cursor, Claude Code, Copilot, Gemini and others) and adds --severity-filter, --breakability-filter and --exclude-ids options to 'snyk fix --agentic'; failed fixes are now kept for review unless --enable-revert is set.
2026-09-22: [Feature launch] Snyk made an Evo MCP server available so MCP clients such as Claude Code and Cursor can query the Evo AI-SPM asset inventory (models, agents, MCP servers, skills), policy violations and create policies without leaving the agent.
2026-09-18: [Release] Snyk CLI v1.1307.3 released with policy-file handling fixes and dependency vulnerability resolutions (CVE-2026-63376, CVE-2026-77465).
2026-09-16: [Feature launch] Snyk added custom CA certificate support so organisations can upload internal Certificate Authority certificates and scans trust internal endpoints the same as public ones.
2026-06-01: [Feature launch] snyk aibom generates CycloneDX 1.6 AI-BOM for Python, Java, JS, Go</t>
  </si>
  <si>
    <t xml:space="preserve">- https://snyk.io/plans/
- https://docs.snyk.io/whats-new
- https://snyk.io/blog/snyk-named-a-leader-in-the-2025-gartner-r-magic-quadrant-tm-for-application/
- https://github.com/snyk/agent-scan</t>
  </si>
  <si>
    <t xml:space="preserve">https://socket.dev/</t>
  </si>
  <si>
    <t xml:space="preserve">SaaS; Socket Firewall runs locally/CI; on-prem not offered (unverified)</t>
  </si>
  <si>
    <t xml:space="preserve">npm, PyPI, Maven, NuGet, Go, RubyGems, Cargo, Composer, Hex, Chrome/VS Code extensions, MCP servers, Hugging Face models, GitHub Actions</t>
  </si>
  <si>
    <t xml:space="preserve">- Behavioural analysis of package code (install scripts, network, obfuscation, env access) for supply-chain malware
- 70+ risk signals incl. typosquats and protestware
- Socket Firewall blocks bad packages at install and in CI
- Precomputed and function-level reachability (Team/Enterprise)
- Licence compliance and SBOM import/export (Business+)
- AI model and extension scanning, incl. VS Code Marketplace extensions (Oct 2026)
- Socket for Origin: dependency-change scanning and PR verdicts on the Origin code hosting platform (Oct 2026)</t>
  </si>
  <si>
    <t xml:space="preserve">GitHub app, GitLab, Bitbucket, Azure DevOps (Enterprise), GitHub Actions, CLI, Slack, Vanta, webhooks, Origin App Marketplace (Oct 2026)</t>
  </si>
  <si>
    <t xml:space="preserve">Vendor-claimed: Vercel, Figma, Brave, Metamask (marketing); $60M Series C May 2026 at $1B valuation (Thrive Capital)</t>
  </si>
  <si>
    <t xml:space="preserve">Gartner MQ AST 2025: not rated. Gartner MQ SSCS 2026: not publicly confirmed (unverified)</t>
  </si>
  <si>
    <t xml:space="preserve">- Enterprise governance and reporting still maturing
- Licence obligation depth limited
- Multi-SCM only on Enterprise
- No on-prem
- Reachability newer than Endor/Semgrep
- Alert and event data older than 1 year ages out from November 2026; long-term audit history requires customer-side exports</t>
  </si>
  <si>
    <t xml:space="preserve">Free $0; Team $25/dev/month (min 5); Business $50/dev/month (min 20); Enterprise custom; 20% off annual</t>
  </si>
  <si>
    <t xml:space="preserve">$300-$600/dev/year</t>
  </si>
  <si>
    <t xml:space="preserve">Teams prioritising malicious-package and AI-tool supply-chain defence; excellent complement to a traditional SCA</t>
  </si>
  <si>
    <t xml:space="preserve">2026-10-14: [Feature launch] Socket for Origin is available in the Origin App Marketplace (Origin is a code hosting platform from SpaceXSI with repository hosting, pull requests and coding agents inside the Cursor workflow). The integration scans dependency changes in manifests and lockfiles when a pull request is opened or commits are pushed, posts a pass/fail verdict against the team's Socket policies and adds PR comments with risk scores and severity labels; GA status and pricing not stated.
2026-10-06: [Feature launch] Socket introduced scanning for VS Code Marketplace extensions, extending its package risk analysis to IDE extensions (blog title; body not read).
2026-09-16: [Release] Socket announced it will enforce a 1-year retention (TTL) on alert and event data for all users starting November 2026, recommending data exports or the historical alerts and events APIs to keep older data.</t>
  </si>
  <si>
    <t xml:space="preserve">- https://socket.dev/pricing
- https://www.startuphub.ai/investment_rounds/socketc-series-c-2026
- https://docs.socket.dev/docs/socket-firewall-overview
- https://socket.dev/blog</t>
  </si>
  <si>
    <t xml:space="preserve">https://www.sonatype.com/products/nexus-one-platform</t>
  </si>
  <si>
    <t xml:space="preserve">SaaS / On-prem / Hybrid; air-gap supported for Lifecycle and Repository with offline data bundles</t>
  </si>
  <si>
    <t xml:space="preserve">npm, PyPI, Maven, NuGet, Go, RubyGems, Cargo, Conan, Conda, CocoaPods, Composer, Swift, R, Hugging Face models, containers (Lifecycle container scanning), 270M+ analyzed components</t>
  </si>
  <si>
    <t xml:space="preserve">- Lifecycle policy engine with stage-based enforcement (proxy, build, stage-release, operate)
- Repository Firewall blocks malicious and policy-violating components at proxy ingestion (ML behavioural detection)
- Nexus Repository Pro+ (Oct 2026): Repository Firewall screening embedded in the repository for open source packages, containers, AI models and MCP servers requested by developers or AI agents, with block or quarantine and safer-upgrade recommendations; Nexus Repository Enterprise edition announced to follow
- Advanced binary fingerprinting and transitive analysis
- SBOM Manager for ingest, monitor, VEX
- License compliance and legal obligations
- Sonatype Guide + MCP server for AI coding assistants (GA Mar 2026)
- AI/ML model visibility and governance</t>
  </si>
  <si>
    <t xml:space="preserve">IDE (IntelliJ, VS Code, Eclipse, Visual Studio), Jenkins, GitHub Actions, GitLab CI, Azure DevOps, Bamboo, Nexus Repository, Artifactory (Firewall for Artifactory), Jira, ServiceNow, Slack</t>
  </si>
  <si>
    <t xml:space="preserve">Vendor-claimed: ~2,000 organisations incl. 70% of Fortune 100; sectors: financial services, government, defence, healthcare; named references not listed in 2025-2026 press</t>
  </si>
  <si>
    <t xml:space="preserve">Gartner MQ AST 2025: Visionary (Oct 2025). Forrester Wave SCA Q4 2024: Leader. Gartner MQ SSCS 2026: Leader (June 2026)</t>
  </si>
  <si>
    <t xml:space="preserve">- Strongest when Nexus Repository is the artifact backbone; less compelling for Artifactory-centric shops
- Reachability limited (Java call-flow)
- Pricing perceived high and modular (Lifecycle, Firewall, SBOM Manager sold separately historically)
- UI dated relative to newer platforms
- SAST is not a core strength, so not a one-stop platform</t>
  </si>
  <si>
    <t xml:space="preserve">Per-developer or per-application annual subscription; Nexus One bundles Repository, Lifecycle, Firewall, SBOM Manager; AWS Marketplace listing</t>
  </si>
  <si>
    <t xml:space="preserve">Not publicly disclosed; historical resale quotes ~$100-$150/dev/year for Lifecycle, Firewall priced per repository manager (unverified)</t>
  </si>
  <si>
    <t xml:space="preserve">Enterprises wanting ingestion-time blocking (Firewall) plus policy-driven SCA and SBOM lifecycle; strong for air-gapped and government clients</t>
  </si>
  <si>
    <t xml:space="preserve">2026-10-14: [Feature launch] Sonatype unveiled Nexus Repository Pro+, which embeds Repository Firewall screening inside Nexus Repository so open source packages, containers, AI models and MCP servers requested by developers or AI agents are checked against Sonatype threat intelligence and security, legal, architectural and component-age policies before they reach a build, with blocking or quarantine and safer-upgrade recommendations. Available today per vendor; a Nexus Repository Enterprise edition with the same protection is to follow in the coming weeks; pricing not published.</t>
  </si>
  <si>
    <t xml:space="preserve">- https://www.sonatype.com/press-releases/sonatype-unveils-nexus-one-platform
- https://www.sonatype.com/press-releases/sonatype-named-a-leader-in-the-2026-gartner-magic-quadrant
- https://www.sonatype.com/press-releases/sonatype-named-visionary-on-2025-gartner-magic-quadrant
- https://www.infoq.com/news/2026/03/sonatype-guide-safety-mcp-server
- https://www.sonatype.com/press-releases/sonatype-unveils-nexus-repository-pro-plus</t>
  </si>
  <si>
    <t xml:space="preserve">https://www.veracode.com/products/software-composition-analysis/</t>
  </si>
  <si>
    <t xml:space="preserve">SaaS (US, EU, FedRAMP regions); Package Firewall deploys against Nexus, Artifactory, Azure Artifacts; no on-prem SCA</t>
  </si>
  <si>
    <t xml:space="preserve">npm, PyPI, Maven/Gradle, NuGet, Go, Ruby, PHP, Cargo, Swift, Objective-C, Scala, containers (Container Security)</t>
  </si>
  <si>
    <t xml:space="preserve">- Agent-based and upload-based SCA with vulnerable-method reachability (Java, .NET, Python, JS)
- Package Firewall (Phylum technology, acquired Jan 2025) integrated into the Veracode platform: blocks malicious/risky packages at ingestion via Nexus, Artifactory, Azure Artifacts proxies (Jan 2026), with Package Firewall analytics in the Veracode UI
- License compliance and policy
- Transitive analysis and fix recommendations
- Veracode Fix for code; SCA intelligent policies (2026)
- SBOM export (CycloneDX/SPDX); Risk Manager (ASPM)</t>
  </si>
  <si>
    <t xml:space="preserve">IDE (VS Code, Visual Studio, JetBrains, Eclipse with OAuth SSO from 2026), GitHub, GitLab, Bitbucket, Azure DevOps, Jenkins, Artifactory, Nexus, Azure Artifacts, Jira, ServiceNow</t>
  </si>
  <si>
    <t xml:space="preserve">Vendor-claimed: financial services, public sector (FedRAMP), healthcare, tech; named logos on veracode.com (unverified)</t>
  </si>
  <si>
    <t xml:space="preserve">Gartner MQ AST 2025: Leader. Forrester Wave SCA Q4 2024: Strong Performer. Gartner MQ SSCS 2026: not publicly confirmed (unverified)</t>
  </si>
  <si>
    <t xml:space="preserve">- SCA historically secondary to binary SAST; agent-based SCA UX inconsistent with upload flow
- No on-prem
- Package Firewall is a separate SKU
- Reachability limited to four languages
- Veracode SCA reviews cite slower innovation than developer-first rivals</t>
  </si>
  <si>
    <t xml:space="preserve">Enterprise subscription by application count / developer; Package Firewall separately priced</t>
  </si>
  <si>
    <t xml:space="preserve">Not publicly disclosed; estimates $50k-$250k+/year for platform bundles (unverified)</t>
  </si>
  <si>
    <t xml:space="preserve">Enterprises standardised on Veracode SAST, or needing FedRAMP SaaS and an ingestion-time firewall</t>
  </si>
  <si>
    <t xml:space="preserve">2026-10-13: [Release] Veracode CLI v2.53.0 adds 'veracode scan static' and 'veracode findings static' commands for Git-workflow static scans with locally cached findings, and improves 'veracode package' (auto-includes .yaml, .yml and .properties for Java, new --csharp-source flag). No SCA or Package Firewall changes were listed in the window.
2026-09-23: [Release] Veracode CLI v2.52.1 improves performance of the 'veracode fix sca' command for JavaScript projects; same update adds multi-team assignment for DAST targets.</t>
  </si>
  <si>
    <t xml:space="preserve">- https://www.businesswire.com/news/home/20260128773416/en/Veracode-Releases-Platform-Enhancements-as-Software-Supply-Chain-Attacks-Surge
- https://www.veracode.com/blog/introducing-veracode-package-firewall/
- https://www.helpnetsecurity.com/2026/01/28/veracode-platform-innovations/
- https://www.veracode.com/resources/analyst-reports/magic-quadrant-leader-application-security-testing/</t>
  </si>
  <si>
    <t xml:space="preserve">https://xygeni.io/open-source-security/</t>
  </si>
  <si>
    <t xml:space="preserve">SaaS; on-prem on Enterprise tier</t>
  </si>
  <si>
    <t xml:space="preserve">npm, PyPI, Maven, NuGet, Go, Ruby, PHP, Cargo and others; containers, IaC</t>
  </si>
  <si>
    <t xml:space="preserve">- SCA with reachability and context-based scoring (claims 90% noise cut)
- Real-time malware early warning before signatures exist
- AI autofix (Team+)
- Secrets auto-revocation
- CI/CD and pipeline security, ASPM
- Licence compliance and SBOM</t>
  </si>
  <si>
    <t xml:space="preserve">GitHub, GitLab, Bitbucket, Azure DevOps, Jenkins, IDE plugins, Jira, Slack</t>
  </si>
  <si>
    <t xml:space="preserve">European mid-market; named customers not disclosed</t>
  </si>
  <si>
    <t xml:space="preserve">- Small vendor with limited analyst presence
- Reachability language scope not documented
- Enterprise references scarce</t>
  </si>
  <si>
    <t xml:space="preserve">Free (5 contributors); Team EUR 3,300/yr; Business EUR 5,900/yr; Enterprise custom</t>
  </si>
  <si>
    <t xml:space="preserve">~$3,600-$6,500/year for Team/Business</t>
  </si>
  <si>
    <t xml:space="preserve">EU mid-market wanting affordable SCA plus pipeline security with on-prem option</t>
  </si>
  <si>
    <t xml:space="preserve">- https://www.capterra.co.uk/software/1043740/xygeni
- https://xygeni.io/open-source-security/
- https://appsecsanta.com/xygeni</t>
  </si>
  <si>
    <t xml:space="preserve">SaaS (gitlab.com, Dedicated) / On-prem (self-managed) / air-gap supported with offline advisory DB</t>
  </si>
  <si>
    <t xml:space="preserve">npm/yarn/pnpm, PyPI (pip, pipenv, poetry, uv), Maven/Gradle, NuGet, Go, Ruby, PHP, Cargo, Conan, Swift, CocoaPods, Dart via SBOM-based scanning; containers via Container Scanning (Trivy)</t>
  </si>
  <si>
    <t xml:space="preserve">- SBOM-based dependency scanning (CycloneDX generated then analysed)
- Licence compliance with SPDX expression policies incl. compound expressions (MIT OR Apache-2.0) in dependency list and license approval policies (19.4, Sept 2026)
- Malicious package detection against GitLab malware advisory DB for npm, PyPI, Maven, Go, NuGet, Cargo, RubyGems with Critical 'Malware' badges (Beta, 19.4, Sept 2026)
- Dependency list and SBOM export
- Duo vulnerability resolution and dependency-scanning auto-remediation MRs that repair breaking bumps
- Vulnerability Context Flow (authentication, authorization level, sensitive-data indicators) and bulk vulnerability due-date API (19.4)
- Non-default branch vulnerability tracking GA, up to three extra branches or tags with per-branch policy evaluation (19.5, Oct 2026)
- Security policies (scan result, merge request approval)</t>
  </si>
  <si>
    <t xml:space="preserve">Native GitLab CI, Web IDE, Jira, ServiceNow, Slack; exports to Dependency-Track via CycloneDX</t>
  </si>
  <si>
    <t xml:space="preserve">Vendor-claimed: public sector, financial services, telecom; Peer Insights 4.4/5 (23 ratings)</t>
  </si>
  <si>
    <t xml:space="preserve">Gartner MQ AST 2025: position unverified (GitLab historically Niche/Challenger). Forrester Wave SCA Q4 2024: Challenger</t>
  </si>
  <si>
    <t xml:space="preserve">- No reachability analysis
- Advisory DB smaller than commercial KBs
- Requires Ultimate tier (~$99/user/month list)
- Duo AI features are add-on licences
- Weak licence obligation reporting</t>
  </si>
  <si>
    <t xml:space="preserve">Included in GitLab Ultimate; Duo Enterprise add-on for AI; credit-based AI usage with included then evaluation credits, per-event usage export, configurable credit caps and Flex spend-cap warnings at 50%/80% (19.4, Sept 2026)</t>
  </si>
  <si>
    <t xml:space="preserve">Ultimate ~$99/user/month list ($1,188/user/year); Duo Enterprise additional (~$39/user/month, verify)</t>
  </si>
  <si>
    <t xml:space="preserve">GitLab-standardised enterprises and air-gapped/self-managed environments wanting native SCA baseline</t>
  </si>
  <si>
    <t xml:space="preserve">2026-10-15: [Release] GitLab 19.5 makes non-default branch vulnerability tracking generally available (up to three additional branches or tags, policies evaluated per tracked branch), adds UI-managed security configuration profiles for SAST and Secret Detection (dependency scanning customisation remains GraphQL-only), raises merge request security report comparison to 1,000 findings per severity, and makes the GitLab MCP server generally available (with 60/600 requests per minute rate limits) alongside GA of GitLab Secrets Manager and per-user GitLab Credits usage views. No dependency scanning, SBOM or malicious package features shipped in 19.5.
2026-09-17: [Feature launch] GitLab 19.4 adds malicious package detection (Beta) that checks dependencies against GitLab malware advisories for npm, PyPI, Maven, Go, NuGet, Cargo and RubyGems with Critical-severity Malware badges, SPDX compound license expression support (AND/OR/WITH) in dependency scanning and license approval policies, Vulnerability Context Flow triage context, a bulk vulnerability due-date GraphQL API, and vulnerability read/write tools in the GitLab MCP server.
2026-09-17: [Pricing change] GitLab 19.4 changes credit consumption order (included credits consume before evaluation credits), adds per-event credit usage exports and configurable credit caps, and adds 50%/80% early warnings on Flex spend caps.</t>
  </si>
  <si>
    <t xml:space="preserve">- https://about.gitlab.com/direction/supply-chain/
- https://about.gitlab.com/blog/dependency-scanning-auto-remediation/
- https://docs.gitlab.com/user/application_security/dependency_scanning/dependency_scanning_sbom/
- https://about.gitlab.com/blog/vulnerability-triage-made-simple-with-gitlab-security-analyst-agent/</t>
  </si>
  <si>
    <t xml:space="preserve">https://google.github.io/osv-scanner/</t>
  </si>
  <si>
    <t xml:space="preserve">CLI / GitHub Action; offline mode with local OSV DB; air-gap feasible</t>
  </si>
  <si>
    <t xml:space="preserve">Lockfiles for npm, PyPI, Maven, NuGet, Go, Cargo, RubyGems, Composer, Pub, Hex, CocoaPods and more; container images (V2 layer-aware); SBOM (SPDX/CycloneDX) input</t>
  </si>
  <si>
    <t xml:space="preserve">- OSV.dev aggregated advisories with precise version ranges
- V2 (Mar 2025): container scanning with layer attribution, guided remediation for npm/Maven, HTML reports
- Call-graph reachability experimental for Go and Rust
- Licence scanning via deps.dev
- Latest v2.6.0 (Sept 2026)</t>
  </si>
  <si>
    <t xml:space="preserve">GitHub Action, CLI in any CI, SARIF output</t>
  </si>
  <si>
    <t xml:space="preserve">OSS community; used within Google; no named enterprise references</t>
  </si>
  <si>
    <t xml:space="preserve">- No licence obligations or policy engine
- No malicious package intel
- No UI or portfolio management
- Reachability experimental</t>
  </si>
  <si>
    <t xml:space="preserve">Lightweight CI gate and SBOM vulnerability check; pairs with Dependency-Track</t>
  </si>
  <si>
    <t xml:space="preserve">2026-09-14: [Release] OSV-Scanner v2.6.0 adds a multi-arch (linux/arm64) osv-scanner-action image, gRPC retry with exponential backoff, Git repository URL extraction and local OSV tag matching for JavaScript lockfiles, experimental osv-scalibr plugins for more file types, and moves to Go 1.27.</t>
  </si>
  <si>
    <t xml:space="preserve">- https://github.com/google/osv-scanner/releases
- https://blog.google/security/announcing-osv-scanner-v2-vulnerability/
- https://appsecsanta.com/osv-scanner</t>
  </si>
  <si>
    <t xml:space="preserve">https://anchore.com/grype/</t>
  </si>
  <si>
    <t xml:space="preserve">CLI; offline DB for air-gap; Anchore Enterprise on-prem/SaaS</t>
  </si>
  <si>
    <t xml:space="preserve">OS packages, npm, PyPI, Maven, NuGet, Go, Cargo, RubyGems, Composer, Dart, Swift, Rust; container images, filesystems, SBOM input (Syft)</t>
  </si>
  <si>
    <t xml:space="preserve">- SBOM-first: Syft generates SBOM, Grype matches vulns
- OpenVEX support and --show-suppressed
- Latest v0.119.0 (17 Sept 2026), monthly releases
- 50M+ combined downloads
- Anchore Enterprise adds policy, SBOM management, STIG/FedRAMP reporting</t>
  </si>
  <si>
    <t xml:space="preserve">GitHub Actions, GitLab, Jenkins, Harbor, registries; Anchore Enterprise integrations</t>
  </si>
  <si>
    <t xml:space="preserve">Strong in US federal/defence (Iron Bank, DoD) via Anchore Enterprise</t>
  </si>
  <si>
    <t xml:space="preserve">- No reachability
- No malware detection
- OSS lacks UI/policy (Enterprise required)
- Language app deps weaker than container/OS focus</t>
  </si>
  <si>
    <t xml:space="preserve">Free OSS; Anchore Enterprise subscription (not public)</t>
  </si>
  <si>
    <t xml:space="preserve">$0 OSS; Enterprise not disclosed</t>
  </si>
  <si>
    <t xml:space="preserve">SBOM-first container programmes, especially US federal and defence</t>
  </si>
  <si>
    <t xml:space="preserve">2026-09-17: [Release] Grype v0.119.0 exposes distro-fixed dropped matches via ignoredMatches for --show-suppressed, makes CVE-aggregated advisory merge order deterministic and patches six dependency vulnerabilities; Syft v1.52.0 (same day) adds passthrough-exact-format for syft-json input and hardens .deb, kernel-module and .NET PE/ELF parsing.</t>
  </si>
  <si>
    <t xml:space="preserve">- https://github.com/anchore/grype/releases
- https://anchore.com/blog/syft-grype-grant-50mill-downloads/
- https://appsecsanta.com/anchore</t>
  </si>
  <si>
    <t xml:space="preserve">SaaS (kusari.cloud); GUAC self-hosted</t>
  </si>
  <si>
    <t xml:space="preserve">Ecosystem-agnostic via SBOM/attestation graph (GUAC); PR analysis for common package managers</t>
  </si>
  <si>
    <t xml:space="preserve">- Kusari Inspector: AI-powered PR review for dependency risk, provenance and attestation gaps (June 2025)
- GUAC supply-chain knowledge graph (SBOM, SLSA, VEX)
- Policy and provenance coverage insights
- Free for CNCF and OpenSSF projects (Mar 2026)</t>
  </si>
  <si>
    <t xml:space="preserve">GitHub app, GUAC ingestion from Syft/Trivy/SLSA</t>
  </si>
  <si>
    <t xml:space="preserve">CNCF projects (GUAC, in-toto Witness, OpenVEX, SLSA); enterprise customers not disclosed</t>
  </si>
  <si>
    <t xml:space="preserve">- Small vendor, limited enterprise references
- No licence obligation engine
- Depends on SBOM/attestation maturity of client
- Pricing undisclosed</t>
  </si>
  <si>
    <t xml:space="preserve">Free for OSS projects; commercial pricing not disclosed</t>
  </si>
  <si>
    <t xml:space="preserve">Provenance/SLSA-centric programmes and OSS maintainers</t>
  </si>
  <si>
    <t xml:space="preserve">- https://www.cncf.io/blog/2026/03/23/kusari-and-cncf-advancing-software-supply-chain-security-for-cloud-native-projects/
- https://openssf.org/blog/2026/03/23/kusari-partners-with-openssf-to-strengthen-open-source-software-supply-chain-security/
- https://siliconangle.com/2025/06/17/kusari-debuts-ai-powered-pull-request-security-tool-software-supply-chain-protection/</t>
  </si>
  <si>
    <t xml:space="preserve">https://owasp.org/www-project-dependency-check/</t>
  </si>
  <si>
    <t xml:space="preserve">CLI, Maven/Gradle/Ant/Jenkins plugins; air-gap with mirrored NVD data / pre-built H2 DB</t>
  </si>
  <si>
    <t xml:space="preserve">Java/Maven, .NET, JS (npm via node audit), Python, Ruby, PHP, Go (partial), Swift/CocoaPods; CPE-based matching</t>
  </si>
  <si>
    <t xml:space="preserve">- CPE/NVD matching with additional analyzers (OSS Index, RetireJS, NPM audit)
- HTML/JSON/SARIF reports
- Suppression files
- Latest 13.0.0 (3 Aug 2026, year inferred from release order): Maven core upgrade and database reopen fix after failed update; 12.2.2 introduced a database schema change</t>
  </si>
  <si>
    <t xml:space="preserve">Maven, Gradle, Ant, Jenkins, SonarQube plugin, CLI, GitHub Actions (community)</t>
  </si>
  <si>
    <t xml:space="preserve">Widely used in Java shops and regulated CI baselines</t>
  </si>
  <si>
    <t xml:space="preserve">- NVD API key effectively mandatory: v12.2.x fails with 429 rate limits and H2 corruption without key (issue #8298)
- High false positives from CPE fuzzy matching
- Slow DB updates
- No transitive/reachability context
- Maintainer capacity constrained</t>
  </si>
  <si>
    <t xml:space="preserve">Legacy Java pipelines and audits where a free NVD-based check is acceptable; migrate to OSV-Scanner/Trivy + Dependency-Track</t>
  </si>
  <si>
    <t xml:space="preserve">- https://github.com/dependency-check/DependencyCheck/releases
- https://github.com/dependency-check/DependencyCheck/issues/8298
- https://appsecsanta.com/owasp-dependency-check</t>
  </si>
  <si>
    <t xml:space="preserve">https://dependencytrack.org/</t>
  </si>
  <si>
    <t xml:space="preserve">Self-hosted containers (API server, frontend, PostgreSQL); air-gap supported with mirrored vulnerability sources</t>
  </si>
  <si>
    <t xml:space="preserve">Ecosystem-agnostic via CycloneDX SBOM ingestion (any language, containers, hardware, AI/ML BOM, SaaSBOM)</t>
  </si>
  <si>
    <t xml:space="preserve">- Continuous SBOM analysis against NVD, OSV, GitHub Advisories, Snyk, Trivy, EPSS
- v5.0 GA (9 June 2026): PostgreSQL-only, horizontal scaling, durable execution, CEL expression policies, component hash integrity checks
- v5.1 (Aug 2026) adds KEV support, JVN data source and Checkmarx SCA analyzer; v4.14.4 (Sept 2026) adds CycloneDX 1.7 BOM ingestion on the 4.x line
- Policy engine (licence, security, operational)
- VEX/VDR support, portfolio dashboards, notifications</t>
  </si>
  <si>
    <t xml:space="preserve">Jenkins, GitHub Actions, GitLab CI, Azure DevOps plugins, Jira, Slack, Teams, DefectDojo, Kenna, OSV, Snyk API, Trivy</t>
  </si>
  <si>
    <t xml:space="preserve">Adopted across government, defence, finance and medtech SBOM programmes; adopters report 20k+ SBOMs/hour ingestion</t>
  </si>
  <si>
    <t xml:space="preserve">- v4 to v5 requires offline migration and Postgres
- No native scanning (needs SBOM producers)
- No reachability
- Enterprise features (RBAC, retention) new in v5
- Community support only</t>
  </si>
  <si>
    <t xml:space="preserve">$0 plus hosting</t>
  </si>
  <si>
    <t xml:space="preserve">SBOM operations backbone for clients with CRA/EO 14028 obligations; pair with Trivy/Syft/OSV-Scanner</t>
  </si>
  <si>
    <t xml:space="preserve">2026-09-14: [Release] Dependency-Track 4.14.4 maintenance release adds ingestion of CycloneDX 1.7 BOMs, modern CycloneDX tools metadata, improved Jira notification handling and fixes for vulnerability mirroring churn and foreign-key errors.</t>
  </si>
  <si>
    <t xml:space="preserve">- https://dependencytrack.org/news/dependency-track-5-0/
- https://owasp.github.io/blog/2026/06/09/dependency-track-v5
- https://github.com/DependencyTrack/dependency-track/releases</t>
  </si>
  <si>
    <t xml:space="preserve">SaaS control plane; CLI tools run locally/CI; on-prem not disclosed</t>
  </si>
  <si>
    <t xml:space="preserve">npm, PyPI, Maven, Go, RubyGems, Cargo and others (20M+ packages analysed)</t>
  </si>
  <si>
    <t xml:space="preserve">- vet: policy-as-code OSS governance in PRs and CI (launched 2025)
- PMG: blocks malicious package installs at developer machine
- Real-time malware detection with claimed 14-hour lead
- MCP server vets packages before agents install (Claude Code, Cursor, Windsurf)
- AI agent and MCP server discovery
- Malware, vuln and licence in one PR verdict</t>
  </si>
  <si>
    <t xml:space="preserve">GitHub PRs, CI, CLI, MCP clients</t>
  </si>
  <si>
    <t xml:space="preserve">Early-stage; SOC 2 Type II and ISO 27001 claimed; customers not named; funding not publicly disclosed</t>
  </si>
  <si>
    <t xml:space="preserve">- Very early vendor, funding undisclosed
- No licence obligation depth
- No reachability
- Limited SCM coverage</t>
  </si>
  <si>
    <t xml:space="preserve">Free tier; Cloud pricing not published</t>
  </si>
  <si>
    <t xml:space="preserve">Low-cost install-time malware gate and PR governance; pilot candidate</t>
  </si>
  <si>
    <t xml:space="preserve">- https://safedep.io/
- https://www.helpnetsecurity.com/2025/06/03/vet-open-source-software-supply-chain-security-tool/
- https://safedep.io/mass-npm-supply-chain-attack-tanstack-mistral/</t>
  </si>
  <si>
    <t xml:space="preserve">https://trivy.dev/</t>
  </si>
  <si>
    <t xml:space="preserve">CLI, server mode, Kubernetes operator; air-gap with offline DB; Aqua SaaS/on-prem for enterprise</t>
  </si>
  <si>
    <t xml:space="preserve">OS packages (Alpine, Debian, RHEL, etc.), npm, PyPI, Maven, NuGet, Go, Cargo, RubyGems, Composer, Conan, Dart, Swift, Julia; containers, filesystems, git repos, Kubernetes, VMs, SBOM input</t>
  </si>
  <si>
    <t xml:space="preserve">- Vulnerabilities, misconfigurations, secrets, licences in one scanner
- SBOM generation (CycloneDX, SPDX) and VEX support; experimental CBOM with cryptographic security levels incl. post-quantum categories (v0.76.0)
- Detects vulnerabilities in Echo-patched Maven, npm and Python packages and scans RapidFort-curated Debian, Oracle, Rocky, Alma and Amazon Linux images (v0.76.0, Oct 2026)
- Latest v0.76.0 (14 Oct 2026), Sigstore-signed releases
- trivy-mcp plugin for AI assistants
- Kubernetes operator</t>
  </si>
  <si>
    <t xml:space="preserve">GitHub Action, GitLab CI template, Jenkins, Harbor, ECR/ACR/GCR, Argo, Kubernetes</t>
  </si>
  <si>
    <t xml:space="preserve">De facto standard in cloud-native teams; GitLab uses Trivy for container scanning</t>
  </si>
  <si>
    <t xml:space="preserve">not rated (Aqua listed as Challenger in Forrester SCA Wave 2024)</t>
  </si>
  <si>
    <t xml:space="preserve">- No reachability or policy UI in OSS
- No malicious package detection
- Portfolio management needs Dependency-Track or Aqua
- Language coverage depends on lockfile presence</t>
  </si>
  <si>
    <t xml:space="preserve">Free; Aqua Platform commercial</t>
  </si>
  <si>
    <t xml:space="preserve">$0 OSS</t>
  </si>
  <si>
    <t xml:space="preserve">Container and Kubernetes supply chain scanning baseline; SBOM generation</t>
  </si>
  <si>
    <t xml:space="preserve">2026-10-14: [Release] Trivy v0.76.0 adds nominal security levels for cryptographic algorithms in experimental CBOM output (classical bit strength and NIST post-quantum categories), detects vulnerabilities in Echo-patched Maven and npm packages (identified by the +echo.N version suffix, in addition to Python), and scans images based on RapidFort-curated Debian, Oracle Linux, Rocky Linux, AlmaLinux and Amazon Linux. DSA algorithms are now distinguished by L and N parameter lengths, which changes their CBOM bom-ref values (possible breaking change).</t>
  </si>
  <si>
    <t xml:space="preserve">- https://github.com/aquasecurity/trivy/releases
- https://github.com/aquasecurity/trivy-mcp
- https://docs.gitlab.com/user/application_security/dependency_scanning/</t>
  </si>
  <si>
    <t xml:space="preserve">Secret Scanning: tool landscape</t>
  </si>
  <si>
    <t xml:space="preserve">25 tools. Research cut-off 2026-10-19. Vendor-claimed items are labelled; unverified items say so. See OWASP Projects and Market Notes sheets for this category.</t>
  </si>
  <si>
    <t xml:space="preserve">SaaS / on-prem option for Enterprise (vendor-stated; verify); Altar-1 open-weight model enables air-gapped AI pentesting on customer GPUs (Sept 2026)</t>
  </si>
  <si>
    <t xml:space="preserve">- Git repos and history (GitHub, GitLab, Bitbucket, Azure DevOps)
- IDE
- CI
- pre-commit
- container images (for vulns; secrets in images not confirmed); no Slack/Jira/Confluence/LLM sources</t>
  </si>
  <si>
    <t xml:space="preserve">- Secrets detection across IDE, CI, Git
- Secret Liveness Detection (validity)
- pre-commit secret blocking
- AI AutoFix for SAST/IaC
- Betterleaks author leads secrets scanning
- all-in-one SAST/SCA/CSPM bundle</t>
  </si>
  <si>
    <t xml:space="preserve">GitHub, GitLab, Bitbucket, Azure DevOps, Jira, Slack, Teams, IDEs, CI, cloud accounts</t>
  </si>
  <si>
    <t xml:space="preserve">SMB to mid-market; Series B 2025; public case studies mainly European scale-ups</t>
  </si>
  <si>
    <t xml:space="preserve">Not rated for secrets; appears in G2 grids</t>
  </si>
  <si>
    <t xml:space="preserve">- No collaboration-tool coverage
- No NHI inventory or revocation workflow
- Enterprise-scale references thin for large consultancies
- Secrets engine documentation less detailed than competitors</t>
  </si>
  <si>
    <t xml:space="preserve">Flat monthly tiers by users: Free (2 users, 10 repos), Basic $300/mo, Pro $600/mo (10 users), Enterprise custom</t>
  </si>
  <si>
    <t xml:space="preserve">$300-600 per month for small teams; enterprise quote</t>
  </si>
  <si>
    <t xml:space="preserve">Mid-size engineering orgs wanting cheap all-in-one coverage with liveness checks</t>
  </si>
  <si>
    <t xml:space="preserve">2026-09-21: [Feature launch] Aikido Altar-1, an open-weight model pruned from GLM-5.3 (328 GB, runs on 4x H200 via vLLM), released on Hugging Face to power on-prem/air-gapped Aikido Machine pentesting; not positioned for secrets detection.</t>
  </si>
  <si>
    <t xml:space="preserve">- https://www.aikido.dev/pricing
- https://www.helpnetsecurity.com/2026/03/19/betterleaks-open-source-secrets-scanner/
- https://thectoclub.com/tools/aikido-security-review/</t>
  </si>
  <si>
    <t xml:space="preserve">https://www.arnica.io/use-cases/hard-code-secrets</t>
  </si>
  <si>
    <t xml:space="preserve">SaaS, pipelineless (SCM app integration)</t>
  </si>
  <si>
    <t xml:space="preserve">- Every push and PR across GitHub, GitLab, Azure DevOps, Bitbucket
- git history (validated secrets)
- not: Slack/Jira/Confluence content, containers, cloud, LLM prompts</t>
  </si>
  <si>
    <t xml:space="preserve">- Real-time detection on push with live validation
- automatic mitigation: rewrites git history to remove validated secrets across branches
- environment-aware severity
- ChatOps to Slack/Teams and Jira/ADO Boards
- custom regex detectors
- no NHI inventory; BluBracket was acquired by HashiCorp, not Arnica</t>
  </si>
  <si>
    <t xml:space="preserve">GitHub, GitLab, Azure DevOps, Bitbucket, Slack, Teams, Jira, Azure Boards</t>
  </si>
  <si>
    <t xml:space="preserve">Mid-market and enterprise dev orgs; names not verified</t>
  </si>
  <si>
    <t xml:space="preserve">- Git-history rewriting is intrusive and needs governance
- SCM-only scope
- Detector count undisclosed
- Small vendor; pricing undisclosed</t>
  </si>
  <si>
    <t xml:space="preserve">Per developer subscription, quote-based; free tier historically offered</t>
  </si>
  <si>
    <t xml:space="preserve">Teams wanting zero-pipeline, auto-mitigated secret cleanup on SCM</t>
  </si>
  <si>
    <t xml:space="preserve">- https://www.arnica.io/use-cases/hard-code-secrets
- https://docs.arnica.io/arnica-documentation/hardcoded-secrets/secret-detection
- https://appsecsanta.com/arnica</t>
  </si>
  <si>
    <t xml:space="preserve">https://www.blackduck.com/platform.html</t>
  </si>
  <si>
    <t xml:space="preserve">SaaS (Polaris) / On-prem (Coverity Connect, Rapid Scan Static CLI) / Signal SaaS with Bring-Your-Own-LLM on customer infrastructure (Sept 2026)</t>
  </si>
  <si>
    <t xml:space="preserve">- Hard-coded secrets checkers in the Polaris SAST engine and Coverity across supported languages (C/C++, Java, C#, JavaScript/TypeScript, Python, Go, Kotlin, Swift, PHP, Ruby and others)
- Rapid Scan Static (Sigma) pattern-based secrets in source, config and IaC files, including JWT and HashiCorp Vault unseal key patterns
- Polaris scans cloud and self-hosted GitHub, GitLab, Azure DevOps Server and Bitbucket repositories
- no git-history, collaboration-tool, CI-log or public-monitoring coverage</t>
  </si>
  <si>
    <t xml:space="preserve">- No dedicated secrets product; hard-coded secrets are a checker family inside SAST
- April 2026 Polaris SAST engine upgrade added 10 new hard-coded secrets checkers and custom severities so credentials can be policy-gated as critical
- June 2026 Rapid Scan Static 2026.5.0 added a HashiCorp Vault unseal key pattern and reduced JWT and hardcoded-secret false positives
- Central rule configuration (Sept 2026) enforces secrets rule profiles across CI, CLI and integrations
- Polaris Issue Management MCP Server (read-only) surfaces findings in Claude and Copilot
- Black Duck Signal (GA March 2026) runs LLM-based, language-agnostic code analysis with task-based agents including a 'sensitive data' agent
- no validity checks, revocation, honeytokens or NHI inventory; total secret pattern count not published</t>
  </si>
  <si>
    <t xml:space="preserve">GitHub (cloud and self-managed), GitLab, Azure DevOps and ADO Server, Bitbucket Cloud and Data Center, Jenkins, IDE plugins (Code Sight), Jira, Slack, SIEM, Claude, GitHub Copilot, Cursor, Windsurf via MCP, OpenAI/Azure/Bedrock/Vertex for BYO LLM</t>
  </si>
  <si>
    <t xml:space="preserve">Black Duck and Coverity installed base in automotive, medical devices, semiconductors, financial services and government; no secrets-specific references published</t>
  </si>
  <si>
    <t xml:space="preserve">Black Duck: Gartner AST Magic Quadrant Leader (2025); Signal featured among RSAC 2026 launches; secrets detection not separately rated</t>
  </si>
  <si>
    <t xml:space="preserve">- No standalone secrets product or published detector catalogue; secrets are one checker family in SAST
- No git history, container registry (beyond Polaris container CVE scanning), CI-log, collaboration-tool or public-leak coverage
- No validity checking, revocation or NHI governance
- Signal's secrets capability is inferred from a generic 'sensitive data' agent and is unverified; BYO LLM shifts model risk and cost to the customer
- Post-Synopsys divestiture (2024) product naming and packaging still changing; pricing opaque</t>
  </si>
  <si>
    <t xml:space="preserve">Polaris per-user or per-application subscription; Coverity per-developer on-prem licence; Signal priced separately, quote-based</t>
  </si>
  <si>
    <t xml:space="preserve">Coverity/Polaris shops that want hard-coded secrets gated in the same SAST policy and are evaluating Signal for agentic remediation; supplement with a dedicated scanner for history, validity and NHI</t>
  </si>
  <si>
    <t xml:space="preserve">2026-09-23: [Release] Polaris September 2026 update: Signal AI Bring-Your-Own-LLM (OpenAI, Azure OpenAI, Bedrock, Vertex) with results uploaded as SARIF under a new AI tool type, central rule configuration with hierarchical inheritance, CWE Top 25 policies, and self-hosted SCM PR remediation for GitHub, GitLab, ADO Server and Bitbucket DC.</t>
  </si>
  <si>
    <t xml:space="preserve">- https://www.blackduck.com/blog/polaris-ai-security-updates-april-2026.html
- https://www.blackduck.com/blog/black-duck-polaris-june-2026-platform-updates.html
- https://www.blackduck.com/blog/polaris-september-2026-update.html
- https://www.blackduck.com/signal-ai-appsec.html
- https://www.blackduck.com/blog/black-duck-signal-ai-application-security.html
- https://www.helpnetsecurity.com/2026/03/23/black-duck-signal-secures-ai-generated-code-with-agentic-application-security/</t>
  </si>
  <si>
    <t xml:space="preserve">SaaS (Checkmarx One, multi-region) / 2ms runs locally; legacy on-prem CxSAST not applicable</t>
  </si>
  <si>
    <t xml:space="preserve">- Source code and git history
- CI/CD pipelines
- container images
- IaC
- IDE (pre-commit)
- 2ms plugins: filesystem, git, Confluence Cloud, Slack, Discord, Paligo</t>
  </si>
  <si>
    <t xml:space="preserve">- 170+ secret types (Checkmarx One)
- Live Secrets Validation
- IDE and CI policy gating on high-severity secrets
- 2ms: Gitleaks-based rules with CVSS scoring and --validate
- Checkmarx Assist AI agents for triage/remediation
- no NHI inventory</t>
  </si>
  <si>
    <t xml:space="preserve">GitHub, GitLab, Bitbucket, Azure DevOps, Jenkins, IDEs, Jira, ServiceNow, Slack, container registries</t>
  </si>
  <si>
    <t xml:space="preserve">Checkmarx enterprise base in financial services, government, manufacturing; not itemised for secrets</t>
  </si>
  <si>
    <t xml:space="preserve">Checkmarx: Gartner AST Magic Quadrant Leader (2025); secrets not separately rated</t>
  </si>
  <si>
    <t xml:space="preserve">- Secrets is a paid add-on, not in base SAST
- 170+ types is well below GitGuardian/TruffleHog
- 2ms has low community traction (~156 stars) and inherits Gitleaks rules
- No revocation or NHI features
- Pricing opaque and consumption-based</t>
  </si>
  <si>
    <t xml:space="preserve">Modular per developer seat / application / consumption; quote-based; 2ms free</t>
  </si>
  <si>
    <t xml:space="preserve">Checkmarx One customers consolidating scanners; 2ms useful for ad-hoc Confluence/Slack sweeps</t>
  </si>
  <si>
    <t xml:space="preserve">2026-09-16: [Release] 2ms v5.4.0 fixes line content for repeated secrets and 10K-byte lines, corrects allow-list construction and removes the suffix from end-column reporting.</t>
  </si>
  <si>
    <t xml:space="preserve">- https://checkmarx.com/product/secrets-detection/
- https://github.com/Checkmarx/2ms
- https://checkmarx.com/packaging/</t>
  </si>
  <si>
    <t xml:space="preserve">https://www.cremit.io/</t>
  </si>
  <si>
    <t xml:space="preserve">SaaS with CLI scanner</t>
  </si>
  <si>
    <t xml:space="preserve">- GitHub repos
- AWS
- Slack
- Okta/SAML identities
- external exposure scanning; broader source list not verified</t>
  </si>
  <si>
    <t xml:space="preserve">- Identity inventory
- secret scanning (pattern, entropy, keyword)
- external exposure scanning
- validation of active credentials
- threat detection and offboarding detection
- workflow routing to owners for rotation</t>
  </si>
  <si>
    <t xml:space="preserve">GitHub, AWS, Slack, Okta, SAML</t>
  </si>
  <si>
    <t xml:space="preserve">E-commerce, fintech, SaaS (Korea-centric); RSAC 2026 CTF 2nd place</t>
  </si>
  <si>
    <t xml:space="preserve">- Funding not disclosed; small team
- Limited source coverage
- Enterprise references outside Korea unverified
- Documentation thin</t>
  </si>
  <si>
    <t xml:space="preserve">Watch-list only; lightweight NHI inventory for cloud-native SMBs</t>
  </si>
  <si>
    <t xml:space="preserve">- https://www.cremit.io/about
- https://www.cremit.io/reports/rsac-2026-nhi
- https://www.cremit.io/product</t>
  </si>
  <si>
    <t xml:space="preserve">https://cycode.com/secrets-detection/</t>
  </si>
  <si>
    <t xml:space="preserve">SaaS / private cloud and self-hosted options for enterprise (verify per contract)</t>
  </si>
  <si>
    <t xml:space="preserve">- Git history across SCMs
- CI/CD (Jenkins, GitHub Actions, GitLab CI)
- container registries and Kubernetes
- Jira, Slack, Teams, SharePoint, Confluence
- cloud and secrets managers (NHI)
- IDE; LLM prompt scanning not documented</t>
  </si>
  <si>
    <t xml:space="preserve">- Regex + ML generic secret engine (claims 70% fewer false negatives, 80% fewer false positives)
- Classifier Agent auto-drafts new detectors from generic hits (May 2026)
- validity checks and severity
- pre-commit and PR blocking
- AI Regex Builder for custom rules
- NHI security module tied to ASPM graph
- Workstation Protection (early access, Sept 2026): endpoint package-install blocking, shadow AI and MCP server inventory, secrets exposure blocking in agent prompts and file reads</t>
  </si>
  <si>
    <t xml:space="preserve">GitHub, GitLab, Bitbucket, Azure DevOps, Jenkins, Jira, Slack, Teams, SharePoint, Confluence, AWS/Azure/GCP, Kubernetes, SIEM, Hugging Face (AI model inventory, Sept 2026)</t>
  </si>
  <si>
    <t xml:space="preserve">Cycode cites enterprise customers in financial services and tech; names not verified in this sweep</t>
  </si>
  <si>
    <t xml:space="preserve">Cycode appears in ASPM analyst coverage (Gartner ASPM market guide vendors); secrets not separately rated</t>
  </si>
  <si>
    <t xml:space="preserve">- Sold as full ASPM; standalone secrets purchase less common
- Accuracy claims are vendor-published
- Pricing undisclosed
- Classifier Agent still requires human review of drafted rules
- Air-gap not confirmed</t>
  </si>
  <si>
    <t xml:space="preserve">Per developer, platform subscription, quote-based</t>
  </si>
  <si>
    <t xml:space="preserve">Enterprises wanting ML generic-secret detection inside an ASPM with collaboration-tool and NHI coverage</t>
  </si>
  <si>
    <t xml:space="preserve">2026-09-29: [Feature launch] Cycode integrates with Hugging Face to build a unified AI model inventory across code and Hugging Face organizations, enriched with license, lineage, download and parameter metadata, with Authorized/Unauthorized status marking, audit logging and daily sync. The announcement covers AI model governance and does not involve secrets detection.
2026-09-23: [Feature launch] Cycode Workstation Protection (early access) intercepts package installs on developer machines with cooldown and threat-intel blocking, inventories shadow AI tools and MCP servers, and blocks secrets exposure in agent prompts and file reads.</t>
  </si>
  <si>
    <t xml:space="preserve">- https://cycode.com/blog/generic-secrets-detection/
- https://cycode.com/blog/the-classifier-agent-creating-a-self-improving-secret-detection-loop/
- https://cycode.com/blog/nhi-security-with-cycode-complete-aspms/</t>
  </si>
  <si>
    <t xml:space="preserve">https://entro.security/</t>
  </si>
  <si>
    <t xml:space="preserve">SaaS (agentless, API connectors); on-prem not documented</t>
  </si>
  <si>
    <t xml:space="preserve">- Cloud (AWS, Azure, GCP)
- code and CI/CD (GitHub, GitLab)
- vaults (HashiCorp, AWS SM, Azure KV)
- Kubernetes
- IdPs (Okta)
- SaaS
- 70+ sources, 1,200+ credential types; LLM prompt sources not documented</t>
  </si>
  <si>
    <t xml:space="preserve">- NHI discovery and inventory across 70+ sources
- secrets scanning and exposure detection
- ownership and lineage mapping to human owners
- NHIDR behavioral detection and response
- posture and lifecycle (rotation, offboarding)
- AI agent identity discovery</t>
  </si>
  <si>
    <t xml:space="preserve">AWS, Azure, GCP, GitHub, GitLab, Okta, Kubernetes, Splunk, HashiCorp Vault, Azure Key Vault, AWS Secrets Manager, 50+ tools</t>
  </si>
  <si>
    <t xml:space="preserve">Kayak, Paramount, Elastic, Dropbox, SolarWinds; Gartner Cool Vendor; financial services vertical page</t>
  </si>
  <si>
    <t xml:space="preserve">Gartner Cool Vendor; listed in Gartner Peer Insights NHI Management &amp; Secrets Security category</t>
  </si>
  <si>
    <t xml:space="preserve">- Acquired by SailPoint (intent announced June 15, 2026, completed June 29, 2026, ~$200M reported); product is being folded into SailPoint's agentic identity portfolio so standalone roadmap, packaging and pricing are uncertain
- entro.security/blog now redirects to sailpoint.com/products/agentic-ai-security (observed 2026-10-19), so Entro no longer publishes a standalone blog or changelog
- Not a developer-workflow scanner (no pre-commit, weaker git-history remediation)
- Pricing undisclosed
- On-prem not available</t>
  </si>
  <si>
    <t xml:space="preserve">Enterprise subscription by NHI count/sources, quote-based</t>
  </si>
  <si>
    <t xml:space="preserve">Security/IAM teams needing NHI inventory and runtime detection layered above code scanners</t>
  </si>
  <si>
    <t xml:space="preserve">- https://www.sailpoint.com/press-releases/sailpoint-announces-intent-to-acquire-entro-security
- https://entro.security/
- https://www.sailpoint.com/products/agentic-ai-security
- https://accuroai.co/blog/nhi-consolidation-identity-acquisitions-ai-agent-security</t>
  </si>
  <si>
    <t xml:space="preserve">https://www.gitguardian.com/</t>
  </si>
  <si>
    <t xml:space="preserve">SaaS / Self-hosted (Enterprise; 2026.9 adds GitGuardian Bridge for isolated networks) / Air-gap: not publicly confirmed</t>
  </si>
  <si>
    <t xml:space="preserve">- Git history (GitHub, GitLab, Bitbucket, Azure DevOps)
- CI/CD
- container images
- Slack, Jira, Confluence and other collaboration sources
- secrets managers and cloud (NHI Governance)
- developer endpoints/laptops
- AI coding agents (prompt, pre/post tool use hooks)
- MCP config and transcripts
- public GitHub monitoring
- binaries and archives via ggshield</t>
  </si>
  <si>
    <t xml:space="preserve">- 480+ specific detectors plus 19 generic detectors (bearer token, high-entropy, password); 10 detectors and 8 analyzers added in engine 2.172 (Sept 2026)
- validity checks, analyzers and one-click revokers per detector
- ggshield pre-commit/pre-push/pre-receive and CI hooks
- full historical scan with incident timeline
- remediation playbooks, Slack/Jira/ServiceNow, honeytokens
- NHI Governance: vault inventory, identity mapping, OWASP NHI policies, AI agent and MCP server inventory per endpoint
- Docker Sandbox Mixin Kit (Sept 2026) preinstalls ggshield AI hooks in sandboxed coding-agent environments
- Endpoint honeytokens: ggshield plants decoy AWS credentials on developer machines to detect credential-harvesting malware (Endpoint Protection add-on, SaaS and self-hosted 2026.9)
- GitGuardian Bridge for scanning isolated network sources without inbound connections (self-hosted 2026.9)
- Coverage Hub on the perimeter page shows monitored, scanned and owned source coverage with one-click gap filters (Sept 2026)
- Wiz integration pushes secret incidents to Wiz as findings with hashed secret values (Sept 2026)
- Harbor container registry scanning (beta, Oct 2026): all layers of tagged images including multi-architecture platforms, Dockerfiles and image environment metadata via a read-only robot account, historical and incremental scans, firewalled instances through GitGuardian Bridge
- In-network validity and permissions checks of vaulted secrets via ggscout 0.34.1+ (Oct 2026): validity, scopes, owner and expiry reported to the NHI inventory for internal vaults, CI variables and Kubernetes clusters
- NHI Governance infers each secret's environment from path, tags and labels (Oct 2026)</t>
  </si>
  <si>
    <t xml:space="preserve">GitHub, GitLab, Bitbucket, Azure DevOps, Jenkins/CI, Docker registries, Harbor (beta, Oct 2026), Google Artifact Registry (keyless Workload Identity), Docker Sandboxes (mixin kit), Slack, Jira, Confluence (Cloud and Data Center), ServiceNow, PagerDuty, SIEM, HashiCorp Vault, AWS Secrets Manager, Azure Key Vault, Kubernetes and CI variable sources via ggscout, IAM identity linking, VS Code, JetBrains, Amazon Kiro, JetBrains Junie CLI, Wiz (incident push)</t>
  </si>
  <si>
    <t xml:space="preserve">DigitalOcean, Snowflake, Datadog, ING, Euronext, BASF (per Feb 2026 Series C coverage); Fortune 500 in tech, financial services, healthcare, energy, manufacturing; 610K+ repos, 115K+ developers monitored</t>
  </si>
  <si>
    <t xml:space="preserve">Positioned as a leader in NHI/secrets analyst coverage; Gartner Peer Insights listed; GigaOm Radar placement for secrets: not independently verified in this sweep</t>
  </si>
  <si>
    <t xml:space="preserve">- Enterprise tier required for NHI governance, self-hosting and unlimited public monitoring
- Pricing above Starter is quote-only, historically among the more expensive per-developer options
- Public-monitoring and honeytoken value is lower for firms with little public footprint
- Endpoint/AI-agent protection is a paid add-on per endpoint
- Behavioral monitoring for agents still private beta</t>
  </si>
  <si>
    <t xml:space="preserve">Per developer per year; Starter free up to 25 developers; Growth and Enterprise quote-based; endpoint protection add-on</t>
  </si>
  <si>
    <t xml:space="preserve">Free (&lt;=25 devs); paid tiers historically reported in the ~$20-30 per developer per month range (unverified, quote-based)</t>
  </si>
  <si>
    <t xml:space="preserve">Large enterprises and consultancies needing best-in-class detection breadth, historical remediation at scale, collaboration-tool coverage and a path into NHI governance and AI-agent credential control</t>
  </si>
  <si>
    <t xml:space="preserve">2026-10-15: [Feature launch] Validity and permissions checks for vaulted secrets now run inside the customer network via ggscout 0.34.1 or later, on by default, reporting validity, scopes, owner and expiry to the NHI inventory for internal vaults, CI variables and Kubernetes clusters. GA or beta status and plan tier are not stated on the changelog page.
2026-10-09: [Feature launch] Beta support for scanning Harbor container registries for secrets: every layer of tagged images (each platform of multi-architecture images), Dockerfiles and environment variables in image metadata, using a customer-created read-only robot account, with historical and incremental scans and firewalled instances reachable through GitGuardian Bridge.
2026-10-07: [Feature launch] NHI Governance infers each secret's environment from its path, tags and labels, falling back to the source-level environment in the ggscout configuration. Same release adds @gitguardian replies on GitHub check runs, keyless Workload Identity for Google Artifact Registry, Public API presence-check endpoints and Confluence Data Center author keys.
2026-09-30: [Feature GA] New Wiz integration pushes GitGuardian secret incidents from version control sources to Wiz as native secret findings in a daily sync, carrying repository, file path, commit, detector, validity and severity; secret values are sent only as SHA-256 hashes and findings close automatically when the incident is resolved or ignored. The same release adds a Public Monitoring agents page with classification metrics.
2026-09-28: [Feature launch] Perimeter page gains a Coverage Hub with four cards (installed integrations, monitored sources, successful scans, owned sources) and one-click filters for unmonitored, unscanned or unassigned sources; adds a Teams column and a 'Has open incidents' filter that replaces the deprecated Health filter.
2026-09-25: [Feature launch] AI Hooks now withhold tool output containing secrets from the model on Claude Code, Codex and Mistral Vibe, and extend secret blocking in commands and file reads to Amazon Kiro and JetBrains Junie CLI (requires ggshield 1.55.0+); Cursor, VS Code and Copilot CLI tool outputs still reach the model.
2026-09-25: [Release] Self-hosted 2026.9 brings GitGuardian Bridge (scan isolated network sources without inbound connections), endpoint honeytokens (ggshield plants decoy AWS credentials to catch credential-harvesting malware, needs Endpoint Protection), ggscout secret classification by detector and family in the NHI inventory, and AI Hooks plus agent/MCP inventory to self-hosted customers.
2026-09-24: [Feature launch] GitGuardian Mixin Kit for Docker Sandboxes auto-installs ggshield and its three AI hooks (prompt, pre-tool-use, post-tool-use) inside sandboxed Claude Code, Cursor, Codex and Copilot sessions; published on Docker Hub and GitHub.
2026-09-14: [Release] Detection Engine 2.172 adds 10 detectors (Telnyx, Appwrite, Jira Data Center PAT, Bitbucket HTTP token, Brightcove, Infor ION, Bifrost, MetaApi, APIclub, generic Sanctum token), 8 new analyzers (AWS Cognito, Alibaba Cloud, Databricks, PyPI, Contentful, 3 DigitalOcean variants) and multilingual username-password keyword matching.
2026-09-07: [Feature launch] AI-agent hooks for Claude Code, Cursor, Copilot CLI, Codex, Mistral Vibe plus agent/MCP inventory</t>
  </si>
  <si>
    <t xml:space="preserve">- https://www.gitguardian.com/pricing
- https://docs.gitguardian.com/releases/saas/2026/09/07/changelog
- https://docs.gitguardian.com/releases/saas/2026/10/15/changelog
- https://docs.gitguardian.com/releases/saas/2026/10/09/changelog
- https://siliconangle.com/2026/02/11/gitguardian-raises-50m-expand-non-human-identity-ai-agent-security/
- https://www.gitguardian.com/agentic-ai-security
- https://docs.gitguardian.com/secrets-detection/secrets-detection-engine/detectors/supported_credentials</t>
  </si>
  <si>
    <t xml:space="preserve">https://docs.github.com/en/code-security/secret-scanning/introduction/about-secret-scanning</t>
  </si>
  <si>
    <t xml:space="preserve">SaaS (GitHub.com, GHEC incl. data residency) / On-prem via GitHub Enterprise Server</t>
  </si>
  <si>
    <t xml:space="preserve">- Git history of GitHub repos
- issues, PRs, discussions, wikis
- GitHub Actions workflows
- AI coding agents via GitHub MCP Server (public preview)
- not: Slack/Jira/Confluence, containers, external CI logs, non-GitHub SCMs</t>
  </si>
  <si>
    <t xml:space="preserve">- Partner patterns across hundreds of providers, growing monthly (20 new types added June 2026; Lovable, Pydantic Logfire and AI Gateway and Supabase detectors Oct 5 2026; Salesforce Marketing Cloud OAuth2 partner and Cloudsmith API keys Oct 13 2026)
- validity checks for a growing set of providers (two dozen more added June 2026)
- push protection with delegated bypass, more patterns blocked by default (Anthropic service and user API keys blocked by default from Oct 13 2026, including free public repos)
- AI-detected generic password alerts: purpose-built fine-tuned secret classifier reads surrounding code to flag credentials with no token format (Oct 7 2026, supersedes the earlier Copilot secret scanning LLM approach; existing AI-detected Password alerts upgraded automatically); AI push protection in private preview for GHEC and Team with GHSP or GHAS; AI-detected alerts public preview on GHES 3.23; secret checks in Copilot /security-review coming in private preview; opt-in AI push protection and security-review checks consume AI Credits
- custom patterns and security configurations org-wide
- partner auto-revocation via secret scanning partner program
- enterprise credential inventory export of SSH keys, PATs, OAuth and GitHub App tokens (GHEC, Sept 2026)
- secret scanning tools in GitHub MCP Server (GA May 2026)</t>
  </si>
  <si>
    <t xml:space="preserve">Native to GitHub; webhooks and REST/GraphQL APIs; security overview; SARIF-free; partner program for provider revocation; GitHub MCP Server</t>
  </si>
  <si>
    <t xml:space="preserve">All GitHub public repos (free); enterprise adoption not itemised by GitHub; referenced broadly across regulated industries using GHEC</t>
  </si>
  <si>
    <t xml:space="preserve">Not rated as a standalone product; GitHub Advanced Security covered by Gartner AST and analyst comparisons</t>
  </si>
  <si>
    <t xml:space="preserve">- GitHub-only: no coverage of GitLab/Bitbucket/Azure DevOps, Slack, Jira, Confluence, containers or external CI logs
- AI-detected generic secret alerts run only on push/scan of new content in enabled repos and depend on org enablement; AI push protection is still private preview and metered through AI Credits
- No precision or recall figures published for the Oct 2026 purpose-built model
- Validity checks limited to supported providers
- No NHI inventory or vault correlation
- GHES lags GHEC features (AI-detected alerts only public preview on GHES 3.23)</t>
  </si>
  <si>
    <t xml:space="preserve">Per active committer per month, metered (standalone Secret Protection SKU since April 2025); free for public repos; self-serve Advanced Security trial for GitHub Team organizations (Sept 2026, trial length not stated); AI-detected alert scans included with GHSP and GHAS, while opt-in AI push protection and security-review secret checks consume AI Credits (Oct 2026)</t>
  </si>
  <si>
    <t xml:space="preserve">$19 per active committer per month (list, widely published; verify against current GitHub billing docs)</t>
  </si>
  <si>
    <t xml:space="preserve">Organisations standardised on GitHub who want push protection by default and AI-assisted password detection with zero pipeline work</t>
  </si>
  <si>
    <t xml:space="preserve">2026-10-13: [Feature launch] Push protection now blocks Anthropic service and user API keys by default, including in free public repositories with secret scanning enabled. Salesforce joins the partner program for its Marketing Cloud OAuth2 token and a Cloudsmith API key detector is added.
2026-10-07: [Feature launch] GitHub introduces a purpose-built, fine-tuned model for leaked secret detection that reads surrounding code to flag likely credentials, including passwords with no recognisable token format, replacing the general-LLM approach behind Copilot secret scanning; existing AI-detected Password alerts were upgraded automatically. AI push protection enters private preview for GHEC and Team customers with GHSP or GHAS, AI-detected alerts enter public preview on GHES 3.23, secret checks in Copilot /security-review are coming in private preview, and the opt-in push protection and review checks consume AI Credits while AI-detected alert scans stay included with GHSP and GHAS.
2026-10-05: [Feature launch] New secret scanning detectors for Lovable Labs (lovable_api_key, Lovable also joins the partner program), Pydantic Services (logfire_token, pydantic_ai_gateway_api_key) and Supabase (supabase_oauth_access_token, supabase_scoped_personal_access_token). Push protection and validity-check support for these types is not stated.
2026-09-30: [Feature GA] GitHub Team organizations can now start self-serve trials of GitHub Advanced Security, covering both GitHub Secret Protection and GitHub Code Security, from the organization Overview page, the Licensing page or the Risk Assessment completion page. Trial length and pricing were not stated in the announcement.
2026-09-25: [Feature launch] Agentic autofix (public preview) now reads and writes Copilot Memory to reuse prior fix patterns when resolving security alerts; announcement does not state secret scanning alert coverage.
2026-09-21: [Feature GA] GitHub Enterprise Cloud enterprise owners can export a full inventory of credentials with enterprise access (SSH keys, PATs, OAuth and GitHub App tokens) for audit correlation; GHES support planned.</t>
  </si>
  <si>
    <t xml:space="preserve">- https://docs.github.com/en/code-security/secret-scanning/copilot-secret-scanning/enabling-ai-powered-generic-secret-detection
- https://github.blog/changelog/2026-10-07-purpose-built-model-for-leaked-secret-detection/
- https://github.blog/changelog/2026-10-13-secret-scanning-blocks-anthropic-keys-by-default-adds-salesforce/
- https://github.blog/changelog/2026-06-17-secret-scanning-updates-june-2026/
- https://github.blog/changelog/2026-05-11-secret-scanning-with-github-mcp-server-is-now-generally-available/
- https://github.blog/changelog/2026-03-17-secret-scanning-in-ai-coding-agents-via-the-github-mcp-server/
- https://github.blog/engineering/platform-security/finding-leaked-passwords-with-ai-how-we-built-copilot-secret-scanning/</t>
  </si>
  <si>
    <t xml:space="preserve">https://help.hcl-software.com/appscan/ASoC/src_secrets_scanning.html</t>
  </si>
  <si>
    <t xml:space="preserve">SaaS (AppScan on Cloud) / Self-managed Kubernetes (AppScan 360) / CLI 'appscan prepare' runs locally and in CI</t>
  </si>
  <si>
    <t xml:space="preserve">- Source code and configuration files submitted to static analysis (requires sourceCodeOnly for Java and .NET; does not scan .jar/.war/.class or .dll/.exe)
- secret types from ~12-14 providers: AWS, Azure, Google Cloud, Alibaba Cloud, GitHub, Atlassian, HashiCorp, Databricks, OpenAI, Stripe, MongoDB, Jenkins, plus hardcoded passwords, credit card numbers and SSNs
- no git-history, container, collaboration-tool or public-monitoring coverage</t>
  </si>
  <si>
    <t xml:space="preserve">- No dedicated secrets product; secrets scanning is an optional mode of the SAST engine, disabled by default and enabled per organization or per scan with -es/--enableSecrets, -so/--secretsOnly, -ds/--disableSecrets
- Provider-specific patterns for cloud and SaaS keys plus PII-style patterns (credit card, SSN)
- Findings flow into standard AppScan issue management, policies and compliance reports
- RapidFix (add-on subscription, built on Pixee Enterprise Server) provides agentic triage and auto-fix for SAST findings
- AppScan MCP Server (360 v2.1, May 2026) exposes SAST/DAST/SCA/IAST findings to AI IDEs on-premise
- no validity checks, revocation or NHI inventory
- CodeSweep free tool does not advertise secrets detection</t>
  </si>
  <si>
    <t xml:space="preserve">AppScan CLI, GitHub Actions (appscan-sast-action), Bitbucket pipelines, Jenkins, Azure DevOps, IDE plugins (VS Code, IntelliJ, Eclipse), Jira, Slack, Splunk, Cursor AI, AppScan MCP Server</t>
  </si>
  <si>
    <t xml:space="preserve">HCL AppScan enterprise base (ex-IBM Security AppScan) in banking, insurance, government and telecom; no secrets-specific references published</t>
  </si>
  <si>
    <t xml:space="preserve">HCL AppScan: Gartner AST Magic Quadrant participant historically; secrets not separately rated</t>
  </si>
  <si>
    <t xml:space="preserve">- No standalone secrets product; secrets scanning is off by default and limited to source submitted for SAST
- Provider list (~12-14) is far narrower than GitGuardian (480+) or TruffleHog
- Cannot scan compiled Java/.NET artifacts for secrets; no git history, container images, CI logs or collaboration sources
- No validity checking, revocation or NHI features
- RapidFix is a paid add-on with an undisclosed model and requires a separate Pixee server
- Detection accuracy and secrets-specific AI not documented</t>
  </si>
  <si>
    <t xml:space="preserve">Included in AppScan on Cloud / AppScan 360 static analysis subscriptions (per application or scan-based); RapidFix additional subscription; CodeSweep free</t>
  </si>
  <si>
    <t xml:space="preserve">AppScan customers who want cloud-key and hardcoded-password checks inside existing SAST scans with on-premise data sovereignty; not adequate as a primary secrets programme</t>
  </si>
  <si>
    <t xml:space="preserve">2026-09-27: [Feature launch] AppScan on Cloud adds admin AI settings to enable or disable AI Assistant, RapidFix, AI SAST and DAST IFA individually (scoped to asset groups), AI SAST business-logic flaw detection, multi-application reports and SCM bulk repository onboarding.</t>
  </si>
  <si>
    <t xml:space="preserve">- https://help.hcl-software.com/appscan/ASoC/src_secrets_scanning.html
- https://help.hcl-software.com/appscan/360/1.0/src_secrets_scanning.html
- https://help.hcl-software.com/appscan/360/2.1.0/appseccloud_rapidfix.html
- https://www.hcl-software.com/blog/appscan/hcl-appscan-360-v2.1-ai-application-security-with-faster-testing-and-automated-fixes
- https://www.hcl-software.com/appscan/products/appscan-codesweep</t>
  </si>
  <si>
    <t xml:space="preserve">https://developer.hashicorp.com/hcp/docs/vault-radar</t>
  </si>
  <si>
    <t xml:space="preserve">SaaS control plane (HCP) with self-hosted Vault Radar agent inside trust boundary; air-gap not supported (HCP required)</t>
  </si>
  <si>
    <t xml:space="preserve">- Git history (GitHub, GitLab, Bitbucket, Azure DevOps; up to 5,000 repos onboarding)
- Confluence, Jira, Slack
- Docker images
- S3
- file systems via agent
- PII and non-inclusive language
- no LLM prompt sources</t>
  </si>
  <si>
    <t xml:space="preserve">- Secret, PII and NIL detection
- correlation of findings with secrets already in Vault (managed vs unmanaged)
- agent-based local scanning (May 2025)
- CLI pre-commit scanning
- Vault Radar built from BluBracket acquisition (HashiCorp, June 2023; not Arnica)
- remediation via Vault onboarding</t>
  </si>
  <si>
    <t xml:space="preserve">GitHub, GitLab, Bitbucket, Azure DevOps, Confluence, Jira, Slack, Docker, S3, HCP Vault / Vault Enterprise, Terraform</t>
  </si>
  <si>
    <t xml:space="preserve">Vault enterprise customers; specific Radar references not disclosed</t>
  </si>
  <si>
    <t xml:space="preserve">Vault rated in secrets management analyst reports; Radar not separately rated</t>
  </si>
  <si>
    <t xml:space="preserve">- Requires HCP; not for air-gapped estates
- Detection breadth and validation less documented than dedicated vendors
- Best value only with Vault as system of record
- IBM pricing changes since acquisition; NHI pricing per client is a known cost issue
- Doppler (adjacent) has no detection product: it is a secrets manager with MCP server and agent-scoped OIDC access</t>
  </si>
  <si>
    <t xml:space="preserve">HCP subscription, quote-based; 30-day trial</t>
  </si>
  <si>
    <t xml:space="preserve">Vault-standardised enterprises wanting to find unmanaged secrets and route them into Vault</t>
  </si>
  <si>
    <t xml:space="preserve">- https://developer.hashicorp.com/hcp/docs/vault-radar
- https://www.hashicorp.com/en/blog/hcp-vault-radar-agent-local-secret-scanning-at-enterprise-scale
- https://thenewstack.io/hashicorp-acquires-blubracket-to-boost-lifecycle-secrets-management/
- https://www.doppler.com/</t>
  </si>
  <si>
    <t xml:space="preserve">SaaS (scans run on Jit infrastructure)</t>
  </si>
  <si>
    <t xml:space="preserve">- Git repos on GitHub/GitLab
- IaC
- CI; secrets engine orchestrated (Gitleaks offered as plan tool); no collab/container-secrets/LLM sources</t>
  </si>
  <si>
    <t xml:space="preserve">- Secrets detection bundled with SAST/SCA/IaC/DAST/CSPM
- Gitleaks-style regex/entropy engine
- AI agents for triage and fix (Plan-Execute-Reflect-Respond)
- Company Context Graph prioritisation
- no validation/revocation/NHI documented</t>
  </si>
  <si>
    <t xml:space="preserve">GitHub, GitLab, Jira, Slack, AWS, Azure, GCP</t>
  </si>
  <si>
    <t xml:space="preserve">Startups and mid-market</t>
  </si>
  <si>
    <t xml:space="preserve">- Acquired by Torq (announced May 19, 2026, terms undisclosed); Jit's AI Context Graph and agents are being integrated into the Torq AI SOC Platform, so the standalone AppSec/secrets product roadmap is uncertain
- Cloud-only scanning
- Secrets engine is commodity OSS wrapped
- No validity or history remediation
- Per-seat pricing not public</t>
  </si>
  <si>
    <t xml:space="preserve">Free tier; Team per developer/workspace; Enterprise custom</t>
  </si>
  <si>
    <t xml:space="preserve">Small teams wanting one orchestrated free/cheap stack</t>
  </si>
  <si>
    <t xml:space="preserve">- https://www.jit.io/aspm-platform
- https://www.jit.io/security-tools/gitleaks
- https://appsecsanta.com/jit</t>
  </si>
  <si>
    <t xml:space="preserve">SaaS; on-prem broker/agent for private SCMs (verify)</t>
  </si>
  <si>
    <t xml:space="preserve">- Source code and git history
- ticketing (Jira)
- artifact registries
- shared workspaces (Slack, Teams, Confluence)
- CI/CD
- AI-generated code (VibeGuard); CI logs and LLM prompts not explicitly documented</t>
  </si>
  <si>
    <t xml:space="preserve">- Secrets detection across code, history, tickets, registries, chat
- validity checks (vendor-stated)
- AI Discovery of AI-generated code and AI usage
- VibeGuard pre-commit scanning of AI assistant output
- MCP server delivering AppSec context to agents
- AI remediation with ticketing
- Agentic Remediation extended to open-source dependency upgrades with verified fix pull requests (Sept 2026, not secrets-specific)</t>
  </si>
  <si>
    <t xml:space="preserve">GitHub, GitLab, Azure DevOps, Bitbucket, Jenkins, Jira, Slack, Teams, Confluence, registries, Cursor, Copilot</t>
  </si>
  <si>
    <t xml:space="preserve">AIG, Freddie Mac, Kraft Heinz, Palo Alto Networks, Netskope, ZoomInfo</t>
  </si>
  <si>
    <t xml:space="preserve">ASPM analyst coverage (Gartner ASPM); not rated for secrets</t>
  </si>
  <si>
    <t xml:space="preserve">- Secrets is a feature of ASPM, not a standalone SKU
- Detector count and validation scope undisclosed
- No NHI lifecycle or revocation automation documented
- Pricing opaque</t>
  </si>
  <si>
    <t xml:space="preserve">Platform subscription per developer, quote-based</t>
  </si>
  <si>
    <t xml:space="preserve">Enterprises buying ASPM who want secrets across code, tickets and chat plus AI-code governance</t>
  </si>
  <si>
    <t xml:space="preserve">2026-09-30: [Feature launch] Legit Security extends its Agentic Remediation to open-source dependency vulnerabilities: the agent identifies the vulnerable package, selects a safe upgrade, applies and verifies the fix and opens a pull request for developer review. GA or preview status is not stated, and the announcement does not cover secrets.</t>
  </si>
  <si>
    <t xml:space="preserve">- https://www.legitsecurity.com/
- https://www.legitsecurity.com/aspm-platform
- https://www.nightfall.ai/blog/mcp-security-developers</t>
  </si>
  <si>
    <t xml:space="preserve">https://www.nightfall.ai/solutions/protect-secret-and-keys</t>
  </si>
  <si>
    <t xml:space="preserve">SaaS (API-based, agentless); endpoint and browser agents optional</t>
  </si>
  <si>
    <t xml:space="preserve">- GitHub
- Slack, Teams, Jira, Confluence, Notion, Google Drive, Salesforce
- email
- endpoints and browser
- ChatGPT, Claude and AI app prompts
- MCP traffic (Cursor, Claude Desktop, VS Code)
- 100+ file types incl. images (OCR)</t>
  </si>
  <si>
    <t xml:space="preserve">- 100+ API key detectors with active-key validation
- ML/LLM detectors for secrets and PII
- real-time redaction and blocking in prompts and MCP calls
- MCP server inventory (20,000+ known servers) with user/device attribution
- SIEM and automated remediation
- no git-history remediation or NHI inventory
- MCP Gateway centralises agent tool access and removes local API keys (per vendor, launched Sept 9, 2026)
- identity-aware runtime guardrails for AI agents via expanded Okta integration (Sept 2026; agent catalog and lifecycle features in preview for Q4 2026)
- Claude Enterprise and Claude Platform coverage via Claude Compliance API (Sept 2026)</t>
  </si>
  <si>
    <t xml:space="preserve">Slack, Teams, Jira, Confluence, Notion, Google Drive, GitHub, Salesforce, Zendesk, Okta (Okta Integration Network, AI agent identity context), Claude Enterprise and Claude Platform (Compliance API), SIEM, Chrome, endpoints, MCP clients</t>
  </si>
  <si>
    <t xml:space="preserve">SaaS, healthcare and fintech DLP customers; MCP customer stories on site (names not verified)</t>
  </si>
  <si>
    <t xml:space="preserve">DLP category (Forrester/Gartner DLP mentions); not rated for secrets detection</t>
  </si>
  <si>
    <t xml:space="preserve">- DLP-first: weak on git history remediation, CI, containers
- No revocation workflow or NHI governance
- Accuracy figures vendor-published
- Pricing not public</t>
  </si>
  <si>
    <t xml:space="preserve">Per user / per data source subscription, quote-based</t>
  </si>
  <si>
    <t xml:space="preserve">Covering secrets in prompts, MCP traffic and collaboration tools where SCM scanners stop</t>
  </si>
  <si>
    <t xml:space="preserve">2026-09-29: [Feature launch] Nightfall expands its integration with Claude's Compliance API to Claude Enterprise and Claude Platform, detecting PII, PHI, PCI, credentials and source code in Claude conversations, with real-time inspection of prompts and responses through inference hooks (per vendor); available now for Anthropic-hosted Claude deployments.
2026-09-22: [Feature launch] Expanded Okta integration, available through the Okta Integration Network, adds identity-aware data security and runtime guardrails for AI agents, including MCP server discovery and governance and detection of credentials and secrets leakage (vendor claim: 95% precision). An identity-aware agent catalog, lifecycle propagation, policy drift detection and ISPM enrichment are in preview, targeted for Q4 2026.</t>
  </si>
  <si>
    <t xml:space="preserve">- https://www.nightfall.ai/products/mcp-security
- https://www.nightfall.ai/solutions/protect-secret-and-keys
- https://help.nightfall.ai/release_notes/nightfall_new_features</t>
  </si>
  <si>
    <t xml:space="preserve">On-prem (Fortify SCA + SSC) / SaaS (Fortify on Demand, OpenText Core Application Security) / hosted Aviator add-on; air-gapped SCA supported</t>
  </si>
  <si>
    <t xml:space="preserve">- Hardcoded password, encryption key and credential rules across Fortify's 30+ languages (ABAP, Apex, .NET, C/C++, COBOL, ColdFusion, Dart, Go, Java, JavaScript, Kotlin, PHP, Python, Ruby, Swift and others) in source and some bytecode
- quarterly Software Security Content updates continue to extend hardcoded-credential detection (e.g. Go Bun ORM DSN helpers in 26.3, AWS Boto3 Secrets Manager in 26.1)
- no git-history, container, collaboration-tool or public-monitoring coverage</t>
  </si>
  <si>
    <t xml:space="preserve">- No dedicated secrets module; detection lives in SAST rule categories 'Password Management: Hardcoded Password', 'Key Management: Hardcoded Encryption Key' and 'Credential Management' (CWE-259/798/321)
- Dataflow-aware: flags string literals reaching authentication and crypto sinks rather than pattern-only matching
- Rulepack updates in 2026 removed Password Management false positives across all languages and added MCP SDK (Java, Kotlin, Go) risk detection
- Remediation Aviator (add-on) audits every SAST finding as true or false positive with explanation and proposes or auto-applies fixes across 44+ languages
- fcli 3.9.0+ ships an MCP server for scan orchestration and finding queries from AI agents
- no validity checks, revocation, honeytokens or NHI inventory</t>
  </si>
  <si>
    <t xml:space="preserve">Fortify SSC, Fortify on Demand, fcli, Jenkins, Azure DevOps, GitHub Actions, GitLab, Bitbucket, IDE plugins (VS Code, IntelliJ, Eclipse, Visual Studio), Jira, ServiceNow, SIEM, Claude Desktop and other MCP clients via fcli</t>
  </si>
  <si>
    <t xml:space="preserve">Fortify installed base in banking, insurance, government and defence; no secrets-specific references published</t>
  </si>
  <si>
    <t xml:space="preserve">OpenText Fortify: Gartner AST Magic Quadrant Leader historically; Gartner Peer Insights listing for Application Security Aviator; secrets detection not separately rated</t>
  </si>
  <si>
    <t xml:space="preserve">- No standalone secrets product or secrets-specific detector catalogue; coverage is limited to hardcoded credentials reaching known sinks, so opaque API tokens and high-entropy strings outside recognised APIs are frequently missed
- Password Management category is a well-known false-positive source that has required repeated rulepack clean-ups
- No git history, container image, CI-log, collaboration-tool or public-leak scanning
- No validity checking, revocation, honeytokens or NHI governance
- Aviator is a paid hosted add-on, which complicates the air-gapped on-prem story
- Pricing opaque</t>
  </si>
  <si>
    <t xml:space="preserve">Fortify SCA per named user / per application, Fortify on Demand per assessment or subscription; Remediation Aviator priced as an add-on with LLM costs included; quote-based</t>
  </si>
  <si>
    <t xml:space="preserve">Regulated on-prem Fortify estates that need CWE-798/259 coverage inside existing SAST governance and AI-assisted triage of those findings; pair with a dedicated scanner for git history and validity checks</t>
  </si>
  <si>
    <t xml:space="preserve">- https://vulncat.fortify.com/en/detail?category=Password+Management&amp;subcategory=Hardcoded+Password
- https://community.opentext.com/cybersec/fortify/w/tips/54037/opentext-fortify-application-security-content-update-26-3
- https://community.opentext.com/cybersec/fortify/w/tips/53110/opentext-application-security-content-fortify-update-26-1
- https://blogs.opentext.com/opentext-fortify-remediation-aviator-audit-every-finding-fix-whats-real/
- https://community.opentext.com/cybersec/b/cybersecurity-blog/posts/fortify-cli-3-9-0-your-appsec-tools-meet-ai-agents
- https://www.opentext.com/products/application-security-aviator</t>
  </si>
  <si>
    <t xml:space="preserve">https://semgrep.dev/products/semgrep-secrets/</t>
  </si>
  <si>
    <t xml:space="preserve">SaaS control plane; scans run in customer CI; validation performed locally</t>
  </si>
  <si>
    <t xml:space="preserve">- Source code in repos (GitHub, GitLab, Bitbucket, Azure DevOps)
- IDE
- pre-commit
- PR; git history scanning limited; no Slack/Jira/Confluence/containers/LLM sources</t>
  </si>
  <si>
    <t xml:space="preserve">- Semantic (dataflow) analysis plus entropy plus validation
- live validation against AWS, Slack, GitHub etc. executed in customer CI
- custom rules for internal secret formats
- rule analytics
- pre-commit and PR comments
- no revocation or NHI</t>
  </si>
  <si>
    <t xml:space="preserve">GitHub, GitLab, Bitbucket, Azure DevOps, Jenkins, CircleCI, Jira, Slack, IDEs, MCP</t>
  </si>
  <si>
    <t xml:space="preserve">Semgrep enterprise base (tech, fintech); not itemised for secrets</t>
  </si>
  <si>
    <t xml:space="preserve">Not rated for secrets</t>
  </si>
  <si>
    <t xml:space="preserve">- Code-only; no history/collab/container coverage
- Detector breadth smaller than GitGuardian/TruffleHog
- Not in free tier
- Validation coverage limited to selected services</t>
  </si>
  <si>
    <t xml:space="preserve">Per contributor per month: Secrets $15 (Teams); Enterprise custom</t>
  </si>
  <si>
    <t xml:space="preserve">$15 per contributor per month (Teams)</t>
  </si>
  <si>
    <t xml:space="preserve">Semgrep shops wanting cheap, low-noise secret rules with semantic context alongside SAST</t>
  </si>
  <si>
    <t xml:space="preserve">2026-09-14: [Feature launch] Semgrep Guardian (real-time checks inside AI coding agents) now reports setup status, scan summary and sign-in/server errors to the agent; Agentic Workflow issues exportable as CSV and via API.</t>
  </si>
  <si>
    <t xml:space="preserve">- https://semgrep.dev/products/semgrep-secrets/
- https://semgrep.dev/pricing/
- https://semgrep.dev/docs/semgrep-secrets/conceptual-overview</t>
  </si>
  <si>
    <t xml:space="preserve">https://snyk.io/product/snyk-secrets/</t>
  </si>
  <si>
    <t xml:space="preserve">SaaS (US/EU/AU regions); Snyk Broker for on-prem SCM; no full on-prem</t>
  </si>
  <si>
    <t xml:space="preserve">- Source, config and property files in repos (GitHub, Bitbucket, Azure Repos, GitLab via Snyk)
- IDE
- CLI/pre-commit
- PR checks
- scheduled SCM scans; git history scanning not documented; no Slack/Jira/containers-for-secrets/LLM sources</t>
  </si>
  <si>
    <t xml:space="preserve">- Multi-signal engine: regex + entropy + ML context scoring (BitPatrol acquisition)
- GA Aug 4, 2026
- IDE, pre-commit, PR gate and scheduled scans
- CLI 'snyk secrets test' with HTML report output since CLI v1.1308.0 (Oct 2026)
- findings in unified Snyk dashboard with Code/OSS/Container/IaC; pending ignore requests shown on Project Issues page (Oct 2026)
- detector count not disclosed
- validation of live secrets not documented</t>
  </si>
  <si>
    <t xml:space="preserve">GitHub, GitLab, Bitbucket, Azure Repos, IDEs (VS Code, JetBrains), CLI, CI, Jira, Slack via Snyk platform</t>
  </si>
  <si>
    <t xml:space="preserve">Snyk enterprise base (not itemised for secrets)</t>
  </si>
  <si>
    <t xml:space="preserve">Snyk is a Gartner AST Magic Quadrant vendor; secrets module not separately rated</t>
  </si>
  <si>
    <t xml:space="preserve">- Very new module (GA Aug 2026): limited track record
- No documented historical git scan, validity checks or revocation workflow
- No collaboration-tool or container coverage
- Pricing tied to Snyk platform bundles
- No NHI inventory</t>
  </si>
  <si>
    <t xml:space="preserve">Part of Snyk AI Security Platform subscription; per-developer, quote-based</t>
  </si>
  <si>
    <t xml:space="preserve">Not publicly disclosed for Secrets; Snyk Team plans historically ~$25+ per dev/month</t>
  </si>
  <si>
    <t xml:space="preserve">Existing Snyk customers who want ML-scored secret prevention in IDE and PR without a second vendor</t>
  </si>
  <si>
    <t xml:space="preserve">2026-10-08: [Release] Snyk CLI v1.1308.0 adds HTML report output for 'snyk secrets test' (and 'snyk code test'), and the experimental 'snyk agent-scan' command now reports risk indicators instead of issue codes, a breaking change for scripts parsing its JSON. Snyk's updates feed also lists (undated, mid-October) pending ignore requests becoming visible on the Project Issues page for Secrets and SAST findings.
2026-08-04: [Feature GA] Snyk Secrets GA (contextual ML from BitPatrol acquisition)</t>
  </si>
  <si>
    <t xml:space="preserve">- https://snyk.io/blog/snyk-secrets/
- https://snyk.io/product/snyk-secrets/
- https://updates.snyk.io/snyk-secrets-scanner-reaches-ga/
- https://updates.snyk.io/</t>
  </si>
  <si>
    <t xml:space="preserve">https://spectralops.io/</t>
  </si>
  <si>
    <t xml:space="preserve">SaaS control plane with local scanner binary; fully offline not feasible</t>
  </si>
  <si>
    <t xml:space="preserve">- Git repos and history
- CI
- pre-commit
- IaC and config files
- binaries and logs via CLI; no Slack/Jira/Confluence/LLM sources</t>
  </si>
  <si>
    <t xml:space="preserve">- Secrets, misconfig and IaC detection in one CLI
- custom detectors (SPEQL)
- pre-commit and CI integrations
- GitHub Action
- latest release ~1.10.x
- no validation/revocation/NHI documented</t>
  </si>
  <si>
    <t xml:space="preserve">GitHub, GitLab, Bitbucket, Azure DevOps, Jenkins, CircleCI, VS Code, Check Point CloudGuard CNAPP</t>
  </si>
  <si>
    <t xml:space="preserve">Check Point CloudGuard customers; not itemised</t>
  </si>
  <si>
    <t xml:space="preserve">- Roadmap subsumed into CloudGuard; branding confusion
- No validity checks or ML detection
- Pricing sales-only
- Limited data-source breadth</t>
  </si>
  <si>
    <t xml:space="preserve">Sales-quoted, bundled with CloudGuard</t>
  </si>
  <si>
    <t xml:space="preserve">Check Point CloudGuard customers needing a bundled scanner</t>
  </si>
  <si>
    <t xml:space="preserve">- https://spectralops.io/
- https://guides.spectralops.io/docs/secrets-scanning
- https://appsecsanta.com/spectralops</t>
  </si>
  <si>
    <t xml:space="preserve">https://www.veracode.com/products/container-security/</t>
  </si>
  <si>
    <t xml:space="preserve">SaaS (Veracode platform); Veracode CLI runs locally/in CI for container, IaC and secrets scans; no self-hosted platform option</t>
  </si>
  <si>
    <t xml:space="preserve">- Static Analysis: hardcoded password/credential flaws (CWE-259, CWE-798, CWE-321) in compiled application uploads across Java, .NET, Python, PHP, JavaScript and other supported languages
- Veracode CLI (Container Security): secrets in local directories, remote repos, container images and image archives alongside IaC and container CVE scans
- no git-history, collaboration-tool, CI-log or public-monitoring coverage</t>
  </si>
  <si>
    <t xml:space="preserve">- No dedicated secrets scanning product; secrets detection is split across two features
- Static Analysis flags hardcoded credentials as SAST flaws (CWE-259/798) with ongoing false-positive reduction updates through Sept 2026
- Veracode CLI 'veracode scan' detects secrets with rule IDs such as aws-access-key-id, asymmetric private keys, passwords and custom keyword rules, masks matched values, assigns CRITICAL to LOW severity and fails policy on high or very high secrets
- GitHub Action and GitLab component for container/IaC/secrets scans with PR comments and fail_build gate
- no validity checking, revocation, honeytokens or NHI inventory</t>
  </si>
  <si>
    <t xml:space="preserve">Veracode CLI, GitHub Actions (container_iac_secrets_scanning), GitLab CI component, Jenkins and other CI via CLI, SBOM output (CycloneDX, SPDX), Veracode platform policy, DryRun Security contextual AI analysis (Sept 2026)</t>
  </si>
  <si>
    <t xml:space="preserve">Veracode enterprise base in financial services, government, healthcare and software; no secrets-specific references published</t>
  </si>
  <si>
    <t xml:space="preserve">Veracode: long-standing Gartner AST Magic Quadrant presence; secrets detection not separately rated by analysts</t>
  </si>
  <si>
    <t xml:space="preserve">- No standalone secrets product and no marketing of secrets as a capability; detection is a by-product of SAST and the container/IaC CLI
- Secrets in CLI scans are policy-gated but there is no validity check, revocation workflow or incident management
- SAST hardcoded-credential rules have a documented history of false positives (2023 bug, repeated FP-reduction updates 2025-2026)
- Number of secret detectors not published
- No git history scanning, no collaboration or CI-log sources, no NHI or AI-agent coverage
- No official MCP server; Veracode Fix support for secrets flaws unverified</t>
  </si>
  <si>
    <t xml:space="preserve">Bundled with Veracode Static Analysis and Container Security subscriptions; per-application or platform licensing, quote-based</t>
  </si>
  <si>
    <t xml:space="preserve">Existing Veracode customers who want basic hardcoded-credential and container/IaC secrets coverage inside their SAST policy without buying a dedicated secrets tool; not a substitute for a dedicated secrets scanner</t>
  </si>
  <si>
    <t xml:space="preserve">2026-09-23: [Release] Static Analysis engine v2026.09 improves .NET detection of CWE-259 and CWE-798 hardcoded-credential flaws with fewer false positives; adds Go 1.27, Android 16 and iOS 27 support.
2026-09-16: [Feature launch] Veracode Static Analysis integrates with DryRun Security, pairing Veracode deterministic SAST with DryRun's contextual AI analysis.</t>
  </si>
  <si>
    <t xml:space="preserve">- https://docs.veracode.com/r/Veracode_Container_Security
- https://docs.veracode.com/r/Review_Container_Security_results
- https://docs.veracode.com/updates/r/c_all_static
- https://github.com/veracode/container_iac_secrets_scanning
- https://community.veracode.com/s/question/0D53n00009cH0EqCAK/-static-analysis-update-veracode-has-improved-support-for-cwe798-use-of-hardcoded-credentials-detection
- https://mcpmarket.com/server/veracode-1</t>
  </si>
  <si>
    <t xml:space="preserve">https://github.com/betterleaks/betterleaks</t>
  </si>
  <si>
    <t xml:space="preserve">Local / CI; offline</t>
  </si>
  <si>
    <t xml:space="preserve">- Git history
- staged changes
- files and archives (archive handling on by default since v1.5.0)
- GitLab source (v1.4.0)
- Hugging Face source (v1.4.1); drop-in for Gitleaks sources; no collaboration/cloud/LLM sources</t>
  </si>
  <si>
    <t xml:space="preserve">- Token Efficiency (BPE tokenisation) replaces Shannon entropy for generic secrets
- 98.6% recall on CredData vs 70.4% Gitleaks (vendor benchmark)
- reads existing .gitleaks.toml and CLI flags
- ruleset grown to 412 rules in v1.7.0 (July 2026) plus 46 more in v1.9.0 (Sept 2026)
- credential validation on rules since v1.5.0, validation rate limiting (v1.7.1) and a validate command to re-validate findings without rescanning (v1.8.1)
- pre-commit, GitHub Actions, GitLab CI
- staged-change scan &lt;2 s
- v2.0.0-rc.1 pre-release (Sept 2026) adds credential identity and permissions analysis and explicit revocation support</t>
  </si>
  <si>
    <t xml:space="preserve">pre-commit, GitHub Actions, GitLab CI; Aikido platform (engine lineage)</t>
  </si>
  <si>
    <t xml:space="preserve">Early adopters migrating from Gitleaks; used inside Aikido (per creator role)</t>
  </si>
  <si>
    <t xml:space="preserve">- Six months old; ecosystem and vendor embeds still on Gitleaks
- Benchmark is vendor-published
- No enterprise console
- v2.0.0 is still a release candidate with breaking CLI, config, report and Go API changes expected; revocation and permissions analysis are pre-release only
- Governance depends on a single maintainer plus Aikido</t>
  </si>
  <si>
    <t xml:space="preserve">Best OSS pick for new pipelines needing higher generic-secret recall without a SaaS backend</t>
  </si>
  <si>
    <t xml:space="preserve">2026-09-30: [Release] Betterleaks v2.0.0-rc.1 (pre-release) reworks the scanning engine for throughput and memory, adds credential identity and permissions analysis and explicit revocation support, streaming JSON/JSONL reports and a simplified CLI; release notes warn that breaking changes to CLI, configuration, report formats and Go API may still land before v2.0.0.
2026-09-29: [Release] Betterleaks v1.9.0 adds 46 detection rules (including Miro, VoyageAI and Bitbucket Data Center tokens), lowers memory use and logging overhead during scans, removes duplicate PKCS#12 findings and returns an empty array instead of null for empty JSON reports.</t>
  </si>
  <si>
    <t xml:space="preserve">- https://www.helpnetsecurity.com/2026/03/19/betterleaks-open-source-secrets-scanner/
- https://www.bleepingcomputer.com/news/security/betterleaks-a-new-open-source-secrets-scanner-to-replace-gitleaks/
- https://blog.canadianwebhosting.com/betterleaks-gitleaks-secret-scanner-bpe/</t>
  </si>
  <si>
    <t xml:space="preserve">Files and staged changes; git history via baseline diffing; no collaboration/cloud/container/LLM sources</t>
  </si>
  <si>
    <t xml:space="preserve">- 28 plugins (AWS, GitHub, private keys, high-entropy, keyword)
- baseline file to separate legacy from new secrets
- pre-commit hook
- optional network verification (--only-verified)
- inline allowlist pragmas
- recommended in OWASP Secrets Management Cheat Sheet</t>
  </si>
  <si>
    <t xml:space="preserve">pre-commit framework, CI scripts</t>
  </si>
  <si>
    <t xml:space="preserve">Widely used in Python shops and banks (IBM fork 'detect-secrets' variant exists)</t>
  </si>
  <si>
    <t xml:space="preserve">- Small plugin set vs modern scanners
- Slow release cadence (v1.5.0 era)
- No git-history scanning without wrappers
- High-entropy noise</t>
  </si>
  <si>
    <t xml:space="preserve">Lightweight baseline-driven pre-commit control in Python-heavy environments</t>
  </si>
  <si>
    <t xml:space="preserve">- https://github.com/Yelp/detect-secrets
- https://cheatsheetseries.owasp.org/cheatsheets/Secrets_Management_Cheat_Sheet.html
- https://pypi.org/project/detect-secrets/</t>
  </si>
  <si>
    <t xml:space="preserve">https://github.com/GitGuardian/ggshield</t>
  </si>
  <si>
    <t xml:space="preserve">Local/CI client; calls GitGuardian SaaS or self-hosted API</t>
  </si>
  <si>
    <t xml:space="preserve">- Working tree and commits
- git history
- Docker images
- PyPI packages
- archives
- CI logs via pipeline mode
- AI coding agent prompts and tool calls (AI hooks)
- MCP transcripts</t>
  </si>
  <si>
    <t xml:space="preserve">- 600+ detector types via GitGuardian engine
- pre-commit, pre-push, pre-receive hooks
- CI integrations (GitHub Actions, GitLab CI, Jenkins, Azure, Bitbucket)
- 'ggshield machine setup' one-command AI hook install
- 'ggshield ai discover' inventories agents and MCP servers
- honeytoken and IaC scanning subcommands
- v1.55.0 (Sept 2026): AI hooks withhold secret-bearing tool output from the model on Claude Code, Codex and Mistral Vibe; Kiro and Junie CLI hooks; configurable API timeout</t>
  </si>
  <si>
    <t xml:space="preserve">Git hooks, pre-commit framework, GitHub Actions, GitLab CI, Jenkins, Azure Pipelines, Bitbucket Pipelines, Docker, VS Code, Amazon Kiro, JetBrains Junie CLI</t>
  </si>
  <si>
    <t xml:space="preserve">Same customer base as GitGuardian platform; widely used in OSS pre-commit setups</t>
  </si>
  <si>
    <t xml:space="preserve">Not rated separately (component of GitGuardian)</t>
  </si>
  <si>
    <t xml:space="preserve">- Requires a GitGuardian API key and quota; not a standalone offline scanner
- Detection logic runs server-side, so air-gapped use needs self-hosted GitGuardian
- Free quota limits historical scanning
- Not a substitute for platform-level incident management</t>
  </si>
  <si>
    <t xml:space="preserve">Free CLI; API usage governed by GitGuardian plan (Starter free up to 25 developers)</t>
  </si>
  <si>
    <t xml:space="preserve">$0 for CLI; platform plan applies</t>
  </si>
  <si>
    <t xml:space="preserve">Teams that want developer-side blocking and AI-agent hook protection with GitGuardian as the backend</t>
  </si>
  <si>
    <t xml:space="preserve">2026-09-24: [Feature launch] Docker Sandbox Mixin Kit packages ggshield with pre-configured AI hooks for Claude Code, Cursor, Codex and Copilot inside Docker Sandboxes (Docker Hub image plus GitHub source); no new ggshield CLI release in the window (latest remains v1.52.2).
2026-09-24: [Release] ggshield 1.55.0 adds 'ggshield machine setup' hooks for Amazon Kiro and JetBrains Junie CLI, withholds secret-bearing tool output from Claude Code and Codex instead of passing it with a warning, and makes the API timeout configurable (1 to 3600 s).</t>
  </si>
  <si>
    <t xml:space="preserve">- https://docs.gitguardian.com/ggshield-docs/getting-started
- https://github.com/GitGuardian/ggshield
- https://docs.gitguardian.com/releases/saas/2026/09/07/changelog</t>
  </si>
  <si>
    <t xml:space="preserve">SaaS (GitLab.com) / Self-managed / GitLab Dedicated; air-gap supported for self-managed</t>
  </si>
  <si>
    <t xml:space="preserve">- Git history via pipeline analyzer (default branch, MR commits, optional full history)
- push-time diffs via pre-receive hooks
- issue and MR descriptions/comments (client-side)
- not: Slack/Jira/Confluence, containers, cloud, CI logs</t>
  </si>
  <si>
    <t xml:space="preserve">- Gitleaks-based analyzer with GitLab-curated ruleset (count not disclosed)
- secret push protection GA (17.5) on Ultimate with skip options and exclusions
- validity checks: not documented as a general feature in this sweep (unverified)
- automatic response: GitLab PATs (including routable and routable-versioned formats, 19.4) auto-revoked, AWS/GCP/Postman vendors notified (public projects only)
- client-side detection in issues/MRs
- GitLab Duo false-positive detection with confidence score (Ultimate + Duo), runs on tracked non-default branches since 19.5
- security configuration profiles (19.5, Ultimate): group-level Secret Detection and SAST options such as excluded paths and full Git history scans applied to all projects
- governance and access restriction for GitLab MCP Server tools (19.4), GitLab MCP server GA with admin toolset selection and rate limits (19.5)
- GitLab Secrets Manager GA on OpenBao (19.5, Premium and Ultimate, consumes GitLab Credits; secrets storage, not detection)</t>
  </si>
  <si>
    <t xml:space="preserve">Native GitLab pipelines, MR widgets, vulnerability report, Jira issue creation, webhooks, security policies, security configuration profiles (19.5); partner revocation API; GitLab MCP server (GA 19.5); GitLab Secrets Manager (OpenBao, GA 19.5)</t>
  </si>
  <si>
    <t xml:space="preserve">GitLab Ultimate base across public sector, financial services, telecom; specific secrets customers not disclosed</t>
  </si>
  <si>
    <t xml:space="preserve">GitLab in Gartner AST Magic Quadrant / DevOps platforms; not rated for secrets specifically</t>
  </si>
  <si>
    <t xml:space="preserve">- GitLab-only coverage; no collaboration-tool, container-registry or cloud scanning
- Push protection is Ultimate-only and skips very large pushes (3,150 paths / 350,000 lines) and files &gt;1 MiB
- Auto-revocation limited to public projects and a handful of partners
- No generic ML detection; relies on curated regex
- Historical scanning needs explicit full-history configuration (settable group-wide via security configuration profiles since 19.5, Ultimate)</t>
  </si>
  <si>
    <t xml:space="preserve">Included in GitLab tiers; Ultimate required for push protection, auto response and Duo features; Duo add-on per seat</t>
  </si>
  <si>
    <t xml:space="preserve">Ultimate list ~$99 per user per month (annual); Duo add-on extra (verify current list)</t>
  </si>
  <si>
    <t xml:space="preserve">GitLab-centric enterprises wanting native push protection and Duo-assisted triage without a separate vendor</t>
  </si>
  <si>
    <t xml:space="preserve">2026-10-15: [Release] GitLab 19.5 adds customizable security configuration profiles (Ultimate) so groups can set Secret Detection and SAST options such as excluded paths and full Git history scans for all their projects, and lets the Duo Secret False Positive Detection flow run on vulnerabilities in tracked non-default branches. The same release makes the GitLab MCP server GA with admin toolset selection and rate limits, brings Externally Connected Agents such as Claude Code and Cursor into AI Governance (beta), and makes GitLab Secrets Manager (OpenBao-based secrets storage, Premium and Ultimate, consumes GitLab Credits) GA.
2026-09-17: [Release] GitLab 19.4 extends automatic response so leaked routable and routable-versioned GitLab personal access tokens are auto-revoked (Ultimate), and adds governance modes (Always Allow / Always Ask) plus beta access restrictions for GitLab MCP Server tools.</t>
  </si>
  <si>
    <t xml:space="preserve">- https://docs.gitlab.com/user/application_security/secret_detection/secret_push_protection/
- https://docs.gitlab.com/user/application_security/secret_detection/automatic_response/
- https://docs.gitlab.com/releases/19/gitlab-19-5-released/
- https://www.infoq.com/news/2026/01/gitlab-18-8-duo-agent-platform/
- https://docs.gitlab.com/user/application_security/secret_detection/</t>
  </si>
  <si>
    <t xml:space="preserve">Local / CI; fully offline</t>
  </si>
  <si>
    <t xml:space="preserve">- Git history
- working directory and files
- stdin
- archives and encoded content; no Slack/Jira/containers/cloud/LLM sources</t>
  </si>
  <si>
    <t xml:space="preserve">- ~200 curated regex/entropy rules in default TOML config (count unverified)
- pre-commit hook and GitHub Action
- full history scan via git log -p
- gitleaks:allow inline exemptions and baselines
- SARIF/JSON/CSV/JUnit reports
- no verification, no revocation, no NHI</t>
  </si>
  <si>
    <t xml:space="preserve">pre-commit, GitHub Action, GitLab CI template (GitLab secret detection analyzer wraps Gitleaks), Jit, Checkmarx 2ms and other vendors embed it</t>
  </si>
  <si>
    <t xml:space="preserve">Embedded in GitLab Secret Detection, Checkmarx 2ms, Jit and many enterprise pipelines; 29K+ stars</t>
  </si>
  <si>
    <t xml:space="preserve">- Maintainer declared Gitleaks feature-complete; new features go to Betterleaks
- Entropy-based generic detection has weak recall (70.4% on CredData per Betterleaks benchmark)
- No validity checks or revocation
- No 'Gitleaks Enterprise' or 'Gitleaks Cloud' product exists (verified: none)
- Noise without tuned allowlists</t>
  </si>
  <si>
    <t xml:space="preserve">Baseline pre-commit and CI guardrail where zero cost and offline operation matter; migrate to Betterleaks for active development</t>
  </si>
  <si>
    <t xml:space="preserve">- https://github.com/gitleaks/gitleaks
- https://www.helpnetsecurity.com/2026/03/19/betterleaks-open-source-secrets-scanner/
- https://blog.canadianwebhosting.com/betterleaks-gitleaks-secret-scanner-bpe/</t>
  </si>
  <si>
    <t xml:space="preserve">https://trufflesecurity.com/trufflehog-enterprise</t>
  </si>
  <si>
    <t xml:space="preserve">SaaS / Self-hosted scanner agents inside customer boundary; full air-gap: not publicly confirmed</t>
  </si>
  <si>
    <t xml:space="preserve">- Git history (GitHub, GitLab, Bitbucket, Azure Repos, Gerrit)
- CI logs and Jenkins
- Docker images and registries
- S3 and S3-compatible storage, GCS
- Slack, Jira, Confluence, SharePoint
- filesystems, binaries and archives
- Hugging Face models/spaces
- Postman, Elastic, syslog; LLM prompt scanning not a documented source</t>
  </si>
  <si>
    <t xml:space="preserve">- 800+ credential types with live verification (Oct 2026 adds Kong Konnect, Resend, Humio and New Relic Insights detectors and Okta OAuth verification)
- Analyze: enumerates what a leaked key can reach (AWS, GCP, SaaS blast radius)
- pre-commit and CI blocking via OSS (latest OSS release v3.97.4, Sept 2026)
- continuous historical scanning with Scan Details retention; Scan Details view replaces the Active scans tab and Last Verified Time shown per secret (Enterprise, Oct 2026)
- S3 scans can include or exclude objects by prefix or extension (Oct 2026)
- remediation routing to owners, post-remediation re-verification
- detector exclusions, archived read-only sources and scan errors in the Activity Log (Enterprise, Oct 2026)
- NHI positioning (service-account credential inventory) since 2025</t>
  </si>
  <si>
    <t xml:space="preserve">GitHub, GitLab, Bitbucket, Azure DevOps, Jenkins, Slack, Jira, Confluence, S3/GCS, Docker, Hugging Face, Splunk/SIEM, webhooks, read API for reporting</t>
  </si>
  <si>
    <t xml:space="preserve">Klaviyo case study (200+ high-impact secrets remediated); Hugging Face partnership; Series A $25M Nov 2025 led by Intel Capital and a16z</t>
  </si>
  <si>
    <t xml:space="preserve">Not rated in a secrets-specific radar in this sweep; frequently cited as leading OSS engine (~24.5K stars)</t>
  </si>
  <si>
    <t xml:space="preserve">- No ML generic-secret detection; unknown/custom formats need custom detectors
- Enterprise pricing undisclosed
- Coverage of AI-agent prompts and MCP traffic not offered first-party
- Self-hosted control plane availability unclear
- OSS output noisy without --only-verified</t>
  </si>
  <si>
    <t xml:space="preserve">OSS free; Enterprise quote-based (per source/contributor, not disclosed)</t>
  </si>
  <si>
    <t xml:space="preserve">Teams prioritising verification and blast-radius analysis across many data sources, and OSS-first pipelines</t>
  </si>
  <si>
    <t xml:space="preserve">2026-10-14: [Feature launch] October 2026 TruffleHog release notes (page dated 2026-10-14; individual items undated) add detectors for Kong Konnect, Resend, Humio and New Relic Insights keys in OSS and Enterprise, S3 include/exclude filters by prefix or extension, and OAuth credential verification for the Okta detector. Enterprise gains a Last Verified Time on secret details, a Scan Details view replacing the Active scans tab, scan errors in the Activity Log, detector exclusions that drop already-queued findings, read-only archived sources and fixes for Jira, Confluence custom-domain, SharePoint and AWS Analyze assume-role issues.</t>
  </si>
  <si>
    <t xml:space="preserve">- https://trufflesecurity.com/trufflehog-enterprise
- https://siliconangle.com/2025/11/06/truffle-security-secures-25m-protect-codebases-leaked-secrets-nonhuman-identities/
- https://trufflesecurity.com/docs/2026-october
- https://trufflesecurity.com/docs/2026-september
- https://github.com/trufflesecurity/trufflehog</t>
  </si>
  <si>
    <t xml:space="preserve">SBOM &amp; AI BOM: tool landscape</t>
  </si>
  <si>
    <t xml:space="preserve">42 tools. Research cut-off 2026-10-19. Vendor-claimed items are labelled; unverified items say so. See OWASP Projects and Market Notes sheets for this category.</t>
  </si>
  <si>
    <t xml:space="preserve">https://air.security</t>
  </si>
  <si>
    <t xml:space="preserve">SaaS with enterprise connectors (details not public)</t>
  </si>
  <si>
    <t xml:space="preserve">AI agents, skills, plugins, MCP servers and add-ons used by agents</t>
  </si>
  <si>
    <t xml:space="preserve">- Discovers agents in the enterprise; continuously vets skills, plugins and MCP servers; blocks unapproved tools; whitelist marketplace of vetted components
- $50M across two seed rounds (Sequoia, Greenoaks), announced 1 Sep 2026
- 20+ customers, strongest in FS and pharma</t>
  </si>
  <si>
    <t xml:space="preserve">not publicly disclosed</t>
  </si>
  <si>
    <t xml:space="preserve">Financial services, pharmaceuticals (unnamed)</t>
  </si>
  <si>
    <t xml:space="preserve">- Very early; product documentation minimal
- No standards-based BOM output evidenced
- Vendor viability typical of seed stage
- No SBOM</t>
  </si>
  <si>
    <t xml:space="preserve">Watchlist: agent add-on and MCP vetting for regulated enterprises</t>
  </si>
  <si>
    <t xml:space="preserve">https://techcrunch.com/2026/09/01/air-raises-50m-to-help-companies-vet-the-skills-and-add-ons-ai-agents-use/|https://www.pymnts.com/news/investment-tracker/2026/ai-agent-security-startup-air-raises-50-million-to-guard-enterprise-supply-chains/</t>
  </si>
  <si>
    <t xml:space="preserve">https://anchore.com/platform/</t>
  </si>
  <si>
    <t xml:space="preserve">Self-hosted (Kubernetes/Helm), air-gapped IL4-6 supported; SaaS option not confirmed</t>
  </si>
  <si>
    <t xml:space="preserve">Containers, registries, source repos and CI artefacts; OS and language ecosystems as Syft; AI/ML model artefacts (GGUF, Docker Model) from v6.2 (Sep 2026)</t>
  </si>
  <si>
    <t xml:space="preserve">- SBOM generation and central management with CycloneDX/SPDX import and export
- VEX support in policy (v6.2) with real-time notifications
- Policy-as-code packs: NIST 800-53/800-190, FedRAMP, DoD, CISA KEV, EU CRA, SSDF attestation support
- Malware signature and secrets detection, CVSS/EPSS prioritisation
- SBOM drift and continuous rescanning
- Regulatory mapping: FedRAMP, DISA, EU CRA, SSDF (EO 14028)</t>
  </si>
  <si>
    <t xml:space="preserve">EKS/ECS/AKS/GKE/OpenShift, Harbor, ECR/ACR/GCR/Artifactory, GitHub/GitLab/Jenkins/Azure DevOps, Jira, Slack, SIEM, Kubernetes admission controller</t>
  </si>
  <si>
    <t xml:space="preserve">US federal and defence (US Air Force, Platform One lineage), NVIDIA, Cisco, eBay; regulated enterprises</t>
  </si>
  <si>
    <t xml:space="preserve">not rated (not confirmed in inaugural 2026 Gartner SSCS MQ)</t>
  </si>
  <si>
    <t xml:space="preserve">- Container-first; weaker for source-only SCA and licence compliance workflows than FOSSA/Black Duck
- No binary/firmware deep analysis
- AI coverage limited to artefact detection; no model malware scanning or dataset BOM
- Federal-oriented UX and packaging; smaller commercial footprint outside North America
- Pricing opaque</t>
  </si>
  <si>
    <t xml:space="preserve">Subscription (per node/scan volume, tiered); quote-based</t>
  </si>
  <si>
    <t xml:space="preserve">not publicly disclosed (market anecdotes: mid five to six figures per year for enterprise)</t>
  </si>
  <si>
    <t xml:space="preserve">Regulated and public-sector container platforms needing SBOM-driven policy and air-gapped deployment</t>
  </si>
  <si>
    <t xml:space="preserve">- https://anchore.com/platform/
- https://anchore.com/blog/extending-supply-chain-security-to-ai-models-with-anchore-enterprise-v6-2/
- https://anchore.com/blog/</t>
  </si>
  <si>
    <t xml:space="preserve">SaaS or self-hosted (Kubernetes)</t>
  </si>
  <si>
    <t xml:space="preserve">Broad source ecosystems, binaries (Binary Analysis: firmware, containers, legacy languages), snippets; AI/ML models integrated into projects (Hugging Face model detection, model card evaluation)</t>
  </si>
  <si>
    <t xml:space="preserve">- Import and export SPDX and CycloneDX with out-of-box and custom templates; automatic custom component creation for unmatched items
- Binary scanning cracks open firmware/binaries
- AI model detection with origin, usage and model card evaluation; models added to SBOM
- Licence obligation guidance and tracking; EU CRA compliance positioning
- VEX: Black Duck supports CycloneDX VEX export and import per docs (unverified from this page)
- Regulatory: EU CRA, EO 14028, FDA, PCI DSS marketing</t>
  </si>
  <si>
    <t xml:space="preserve">Jenkins, GitHub, GitLab, Azure DevOps, Bamboo, Artifactory, Jira, ServiceNow, Coverity, Polaris, Code Sight IDE; Polaris on-premises SCM support for self-hosted GitHub, GitLab, Azure DevOps Server and Bitbucket (Sep 2026)</t>
  </si>
  <si>
    <t xml:space="preserve">Automotive, medical devices, FS, semiconductors; Black Duck cites 1,000s of enterprise customers</t>
  </si>
  <si>
    <t xml:space="preserve">Leader, Gartner MQ Software Supply Chain Security (June 2026); Leader in Forrester SCA Wave (Q4 2024)</t>
  </si>
  <si>
    <t xml:space="preserve">- High cost and heavy administration
- Scan performance and false positives on binary analysis
- AI model coverage is detection and licence, not malware scanning
- SPDX 3.0 support unverified
- Post-Synopsys carve-out product roadmap risk</t>
  </si>
  <si>
    <t xml:space="preserve">Subscription by projects/scans/contributors; quote-based</t>
  </si>
  <si>
    <t xml:space="preserve">not publicly disclosed (typically six figures for large enterprises)</t>
  </si>
  <si>
    <t xml:space="preserve">Large enterprises needing binary/firmware SBOMs plus licence compliance and CRA-grade reporting</t>
  </si>
  <si>
    <t xml:space="preserve">2026-09-23: [Feature launch] Polaris September 2026 update adds bring-your-own-LLM for Black Duck Signal AI code analysis (per-agent provider configuration), unified management of AI findings alongside deterministic scan results, central rule profiles applied across the org, 2024/2025 CWE Top 25 support, asynchronous SCA notifications for critical dependency changes between scans, and on-premises SCM support for self-hosted GitHub, GitLab, Azure DevOps Server and Bitbucket.</t>
  </si>
  <si>
    <t xml:space="preserve">- https://www.blackduck.com/software-composition-analysis-tools/black-duck-sca.html
- https://news.blackduck.com/2026-06-22-Black-Duck-Named-a-Leader-in-the-Inaugural-2026-Gartner-R-Magic-Quadrant-TM-for-Software-Supply-Chain-Security
- https://www.blackduck.com/resources/analyst-reports/gartner-magic-quadrant-software-supply-chain-security.html</t>
  </si>
  <si>
    <t xml:space="preserve">https://checkmarx.com/product/sbom/</t>
  </si>
  <si>
    <t xml:space="preserve">SaaS (Checkmarx One multi-tenant cloud); hybrid scanning via CLI/SCA Resolver for on-prem dependency resolution; dedicated/private deployment options not verified for SBOM module</t>
  </si>
  <si>
    <t xml:space="preserve">Checkmarx SCA package-manager coverage (npm/yarn, Maven/Gradle, PyPI, NuGet, Go, Ruby, PHP Composer, Swift/CocoaPods and others per Checkmarx SCA supported-languages docs; exact list behind JS-rendered docs, not re-verified); container images via Container Security engine; AI assets via AI Supply Chain Security: LLMs, AI SDKs/libraries, MCP servers and clients, AI agents</t>
  </si>
  <si>
    <t xml:space="preserve">- SBOM export from Checkmarx One scan results in CycloneDX JSON, CycloneDX XML and SPDX JSON (CLI report-format flags CycloneDxJson, CycloneDxXml, SpdxJson; requires SCA engine on the scan)
- One-click SBOM export from UI, REST Export Service API, and Checkmarx One CLI; option to hide dev/test dependencies
- SBOM enriched with vulnerability, license risk, supply-chain risk and dependency relationships
- Third-party SBOM import: consume vendor SBOMs and enrich with Checkmarx vulnerability data
- AI Supply Chain Security add-on (GA June 2026): AI Inventory / AI-BOM exported as CycloneDX 1.7, deterministic code-based discovery of models, agents, MCP servers, AI libraries and SDKs; LLM scanning; MCP scanning listed 'coming soon' on product page
- CycloneDX/SPDX spec version numbers for the standard SBOM export: not publicly disclosed in accessible docs
- VEX authoring/export: not publicly disclosed (unverified)</t>
  </si>
  <si>
    <t xml:space="preserve">GitHub, GitLab, Bitbucket, Azure DevOps SCM triggers on push/PR; Jenkins, Azure Pipelines, GitHub Actions, GitLab CI via Checkmarx One CLI; IDE plugins (VS Code, JetBrains, Visual Studio, Eclipse) with Developer Assist; Jira/ServiceNow; SIEM/webhooks; MCP-compatible AI assistants</t>
  </si>
  <si>
    <t xml:space="preserve">Enterprise and federal; specific SBOM reference customers not publicly disclosed</t>
  </si>
  <si>
    <t xml:space="preserve">Leader, 2026 Gartner Magic Quadrant for Software Supply Chain Security (per Checkmarx press release); cited as Representative Vendor in Gartner Innovation Insight for AI-BOMs</t>
  </si>
  <si>
    <t xml:space="preserve">- SBOM is a report over Checkmarx SCA results, not a standalone SBOM management layer; no documented VEX authoring or SBOM lifecycle/diff tooling
- Public docs are JS-rendered and do not surface CycloneDX/SPDX spec versions for the standard SBOM export; verify version against your consumer before committing
- AI-BOM, LLM scanning and MCP scanning are a separately priced add-on module; MCP scanning marked 'coming soon' on product page as of verification
- SBOM generation requires the SCA engine to have completed successfully on the scan; third-party SBOM import is described in marketing only
- Pricing is quote-based (developer seats, applications, usage); no public list price</t>
  </si>
  <si>
    <t xml:space="preserve">Subscription, quote-based; modular add-ons (SCA, AI Supply Chain Security / AI-BOM, Checkmarx MCP, Developer/Triage/Remediation Assist) priced by developer seats, applications and usage</t>
  </si>
  <si>
    <t xml:space="preserve">Not publicly disclosed; custom quote</t>
  </si>
  <si>
    <t xml:space="preserve">Existing Checkmarx One customers who want SBOM export and AI asset inventory from the same SCA scans without adding a separate SBOM tool</t>
  </si>
  <si>
    <t xml:space="preserve">- https://checkmarx.com/product/sbom/
- https://checkmarx.com/solutions/ai-supply-chain-security/
- https://vmblog.com/news/checkmarx-delivers-complete-ai-asset-visibility-and-governance-for-the-software-supply-chain-closing-the-shadow-ai-gap/
- https://github.com/Checkmarx/ast-cli/blob/main/internal/commands/result.go
- https://checkmarx.com/blog/sbom-how-to-create-one-using-checkmarx-sca/
- https://checkmarx.com/solutions/checkmarx-mcp/
- https://checkmarx.com/packaging/
- https://docs.checkmarx.com/en/34965-388392-checkmarx-one-sbom-reports.html</t>
  </si>
  <si>
    <t xml:space="preserve">https://www.cisco.com/site/us/en/products/security/ai-defense/index.html</t>
  </si>
  <si>
    <t xml:space="preserve">SaaS with network-embedded enforcement (Cisco Secure Access, firewalls)</t>
  </si>
  <si>
    <t xml:space="preserve">AI workloads, apps and models across clouds; model files and related artefacts (AI Supply Chain Risk Management); third-party GenAI apps (AI Access, ex-Aim)</t>
  </si>
  <si>
    <t xml:space="preserve">- AI Cloud Visibility inventories models and data sources
- AI Model and Application Validation (algorithmic red teaming)
- AI Supply Chain Risk Management for models and files
- AI Runtime Protection guardrails
- AI Access (shadow AI, from Aim Security)
- Foundation AI: open-weight security models (Foundation-sec-8b)
- Alignment: NIST, MITRE ATLAS, OWASP LLM Top 10</t>
  </si>
  <si>
    <t xml:space="preserve">Cisco Secure Access, Splunk, Hypershield, cloud providers</t>
  </si>
  <si>
    <t xml:space="preserve">Cisco enterprise base; not disclosed</t>
  </si>
  <si>
    <t xml:space="preserve">not rated in SSCS MQ</t>
  </si>
  <si>
    <t xml:space="preserve">- Network-centric; developer pipeline integration weaker
- No SBOM
- Aim Security integration status details unverified (Cisco announced intent to acquire Aim in 2025; completion date unverified)
- Standards-format AIBOM absent</t>
  </si>
  <si>
    <t xml:space="preserve">Subscription; quote-based</t>
  </si>
  <si>
    <t xml:space="preserve">Cisco-standardised enterprises wanting AI asset visibility and runtime guardrails at the network layer</t>
  </si>
  <si>
    <t xml:space="preserve">https://www.cisco.com/site/us/en/products/security/ai-defense/index.html|https://www.aim.security/</t>
  </si>
  <si>
    <t xml:space="preserve">SaaS; private cloud/on-prem options</t>
  </si>
  <si>
    <t xml:space="preserve">Any ecosystem via ingestion; generation for source and containers; strong in embedded/medical/OT supplier SBOMs; AIBOM, CBOM, HBOM ingestion</t>
  </si>
  <si>
    <t xml:space="preserve">- Generation CycloneDX 1.6-1.7, SPDX 2.3 and 3.0.1; ingestion CycloneDX 1.2-1.7, SPDX 2.2-3.0.1; CSV/Excel via csv2cdx
- SBOM quality analysis and autocorrection; Magic Link enrichment
- VEX on demand, dynamic VEX; secure sharing portal with access logs
- Regulatory: FDA 524B, EU CRA Article 14 reporting, NTIA/CISA elements
- Raven AI triage layer for vulnerability prioritisation
- Hourly vulnerability re-evaluation</t>
  </si>
  <si>
    <t xml:space="preserve">CI/CD, Jira, ServiceNow, vulnerability feeds; API</t>
  </si>
  <si>
    <t xml:space="preserve">Medical devices, energy/OT, automotive; Cybeats publicly cited Gartner Peer Insights 5.0 rating (7 reviews)</t>
  </si>
  <si>
    <t xml:space="preserve">not rated in 2026 SSCS MQ (Peer Insights listed)</t>
  </si>
  <si>
    <t xml:space="preserve">- Small vendor scale and viability risk (TSXV-listed microcap)
- Limited SBOM generation depth vs SCA vendors
- AI BOM is ingestion-centric
- Fewer developer-workflow integrations
- Pricing opaque</t>
  </si>
  <si>
    <t xml:space="preserve">Subscription by products/SBOMs; quote-based</t>
  </si>
  <si>
    <t xml:space="preserve">Product security teams managing supplier SBOMs for FDA and CRA obligations</t>
  </si>
  <si>
    <t xml:space="preserve">https://www.cybeats.com/sbom-studio|https://www.gartner.com/reviews/market/software-supply-chain-security</t>
  </si>
  <si>
    <t xml:space="preserve">SaaS; self-hosted option</t>
  </si>
  <si>
    <t xml:space="preserve">Major ecosystems with function-level reachability (Java, JS/TS, Python, Go, C#, Rust, etc.), containers; AI: Hugging Face models (50 risk metrics), coding agents, MCP servers, skills, AGENTS.md/CLAUDE.md context files</t>
  </si>
  <si>
    <t xml:space="preserve">- SBOM Hub: generate and ingest external SBOMs; asynchronous SBOM and VEX export jobs with AsyncJob REST resource (Sep 2026); VEX generation with reachability justification
- Compliance guidance for PCI DSS 4.0 and EU CRA
- AI Code Governance: inventory of coding agents, models, MCP servers and skills; policy enforcement (Ask Permission policies advisory-only in Codex, Block still enforced)
- AI SAST with dataflow; AI Security Review agents on PRs
- Free MCP server (npx endorctl ai-tools mcp-server) for Cursor, Claude Code, VS Code, Codex
- Package Firewall for VS Code extensions and NuGet; Conan C/C++ SCA; Threat Center; incremental container scanning and base image remediation (Sep 2026)
- License notice reports (Beta, Oct 2026): report of open source dependencies with licence texts and copyright notices for attribution obligations</t>
  </si>
  <si>
    <t xml:space="preserve">GitHub, GitLab, Bitbucket, Azure DevOps, Jenkins, CircleCI, Jira, IDEs, coding agents via MCP</t>
  </si>
  <si>
    <t xml:space="preserve">Noma Security lists Endor Labs as a customer; Endor cites FS and tech customers (names not disclosed here)</t>
  </si>
  <si>
    <t xml:space="preserve">Visionary, Gartner MQ Software Supply Chain Security (June 2026)</t>
  </si>
  <si>
    <t xml:space="preserve">- No binary/firmware analysis
- AI BOM export in standard formats unverified
- Younger vendor; regional support limited
- Model malware scanning absent
- Pricing opaque</t>
  </si>
  <si>
    <t xml:space="preserve">Subscription per developer; quote-based</t>
  </si>
  <si>
    <t xml:space="preserve">Engineering orgs that want reachability-driven SBOM/VEX plus governance of AI coding agents and MCP servers</t>
  </si>
  <si>
    <t xml:space="preserve">2026-10-19: [Feature launch] October 2026 release notes (page carries month only, exact day not stated; verified 19 Oct) add License notice reports in Beta: a generated report listing open source dependencies in projects and packages with their licence texts and copyright notices to help meet attribution obligations. No SBOM, VEX or AI Code Governance items were visible on the page at verification.
2026-09-27: [Feature launch] September 2026 release notes (page carries month only, exact day not stated; verified 27 Sep) add asynchronous SBOM and VEX export as background jobs for projects, findings or package versions via the Reports page and an AsyncJob REST resource, Conan C/C++ SCA support, Package Firewall for VS Code extensions and NuGet, incremental container scanning, base image remediation, malware exposure classification, a tenant-wide Threat Center, and change Coding Agent Governance 'Ask Permission' policies to advisory-only in Codex.</t>
  </si>
  <si>
    <t xml:space="preserve">https://www.endorlabs.com/|https://www.endorlabs.com/learn/endor-labs-is-a-visionary-in-the-2026-gartner-r-magic-quadrant-tm-for-software-supply-chain-security</t>
  </si>
  <si>
    <t xml:space="preserve">SaaS; private deployments for defence</t>
  </si>
  <si>
    <t xml:space="preserve">Firmware images, binaries, containers, source code, supplier SBOMs; embedded Linux, RTOS; no ML model analysis</t>
  </si>
  <si>
    <t xml:space="preserve">- Binary and firmware SBOM generation; SBOM ingestion and reconciliation
- VEX generation and management
- Compliance evidence packs: FDA 524B, EU CRA, CE RED, PCI
- 200+ vulnerability intelligence sources; reachability for binaries
- Finite State Copilot and AgentOS: AI-assisted, review-gated workflows
- 150+ integrations, REST/GraphQL, CLI</t>
  </si>
  <si>
    <t xml:space="preserve">GitHub Actions, GitLab CI, Jenkins, Jira, ServiceNow, Artifactory</t>
  </si>
  <si>
    <t xml:space="preserve">Aptiv, Hitachi Energy, Google, Quectel, Hubbell, Johnson Controls (automotive, energy, industrial, medical)</t>
  </si>
  <si>
    <t xml:space="preserve">not rated in 2026 SSCS MQ</t>
  </si>
  <si>
    <t xml:space="preserve">- No AI/ML BOM
- Cost scales with firmware volume
- Less suited to pure web/cloud application portfolios
- SBOM quality scoring not explicit
- Vendor scale moderate</t>
  </si>
  <si>
    <t xml:space="preserve">Subscription by products/firmware images; quote-based</t>
  </si>
  <si>
    <t xml:space="preserve">IoT/OT and medical device manufacturers needing binary-derived SBOMs and CRA/FDA evidence</t>
  </si>
  <si>
    <t xml:space="preserve">https://finitestate.io/platform|https://www.gartner.com/reviews/market/software-supply-chain-security</t>
  </si>
  <si>
    <t xml:space="preserve">SaaS; on-premises option available</t>
  </si>
  <si>
    <t xml:space="preserve">30+ language ecosystems via fossa-cli, containers, binaries (limited), vendored code snippet scanning; no firmware; AI model detection not documented</t>
  </si>
  <si>
    <t xml:space="preserve">- Export CycloneDX and SPDX with custom templates
- Import third-party SBOMs; central repository with versioning
- Automated VEX attestations
- Licence compliance engine with obligation tracking
- Regulatory mapping: EU CRA, FDA, PCI DSS, DORA, NTIA minimum elements, SEBI (India)
- Snippet and vendored code detection</t>
  </si>
  <si>
    <t xml:space="preserve">GitHub, GitLab, Bitbucket, Jenkins, CircleCI, Azure DevOps, Jira, Slack, Artifactory</t>
  </si>
  <si>
    <t xml:space="preserve">Tech and enterprise customers (e.g. Uber, Twilio, Zendesk historically cited by FOSSA)</t>
  </si>
  <si>
    <t xml:space="preserve">not rated in 2026 SSCS MQ (Gartner Peer Insights listed); Forrester SCA Wave prior participation</t>
  </si>
  <si>
    <t xml:space="preserve">- AI BOM and model scanning not evidenced
- Binary and firmware analysis weak
- Pricing by contributor can escalate
- Vulnerability data depth trails dedicated SCA leaders
- SPDX 3.0 export unverified</t>
  </si>
  <si>
    <t xml:space="preserve">Free tier; Team and Business per contributing developer; Enterprise quote</t>
  </si>
  <si>
    <t xml:space="preserve">Historically ~$400-1,000+/contributor/year for paid tiers; enterprise not disclosed</t>
  </si>
  <si>
    <t xml:space="preserve">Licence-compliance-driven organisations needing SBOM export plus third-party SBOM intake with regulatory mapping</t>
  </si>
  <si>
    <t xml:space="preserve">- https://fossa.com/product/sbom-management/
- https://fossa.com/blog/cisa-releases-2026-minimum-sbom-elements/
- https://www.gartner.com/reviews/market/software-supply-chain-security</t>
  </si>
  <si>
    <t xml:space="preserve">SaaS (GitHub.com); GitHub Enterprise Server support for dependency graph</t>
  </si>
  <si>
    <t xml:space="preserve">Manifest/lockfile ecosystems supported by dependency graph (npm, Maven, pip, Go, NuGet, RubyGems, Composer, Cargo, pub, Swift, etc.); no containers or binaries</t>
  </si>
  <si>
    <t xml:space="preserve">- SPDX 2.3 JSON export via UI and REST API
- Includes versions, package identifiers, licences, transitive paths
- Open source license compliance GA (16 Oct 2026, GitHub Enterprise Cloud incl. data residency, repositories with GitHub Code Security): licence data in dependency graph and SBOM exports, pull request annotations for noncompliant dependencies, enterprise licence policy enforced through the ruleset condition 'Require license compliance results before merging', Enterprise Open-Source License Manager role, audit log events, and dependency graph, policy and package compliance-check APIs
- Actions available for Syft or sbom-tool for CycloneDX
- Dependabot alerts and dependency review
- No VEX; no ingestion
- Regulatory: meets basic NTIA elements; lacks hashes and signatures required by CISA 2026</t>
  </si>
  <si>
    <t xml:space="preserve">REST API, GitHub Actions, Dependabot</t>
  </si>
  <si>
    <t xml:space="preserve">All GitHub users</t>
  </si>
  <si>
    <t xml:space="preserve">GitHub listed on Gartner SSCS Peer Insights market; MQ position unverified</t>
  </si>
  <si>
    <t xml:space="preserve">- SPDX 2.3 only; no CycloneDX from native export
- No component hashes or SBOM signature (fails CISA 2026 minimum elements without post-processing)
- Manifest-based only; no build-time resolution or containers
- No management, VEX or quality scoring
- Accuracy depends on dependency graph parser coverage</t>
  </si>
  <si>
    <t xml:space="preserve">Included free</t>
  </si>
  <si>
    <t xml:space="preserve">$0 (GitHub Advanced Security for alerts is $49/committer/month list)</t>
  </si>
  <si>
    <t xml:space="preserve">Baseline repo-level SBOM for inventory and open-source hygiene, not for regulatory submission</t>
  </si>
  <si>
    <t xml:space="preserve">2026-10-16: [Feature GA] Open source license compliance is generally available for GitHub Enterprise Cloud customers (including data residency) on repositories with GitHub Code Security: licence data now appears in the dependency graph and SBOM exports, pull requests are annotated for noncompliant dependencies, an enterprise licence policy is enforced via a new ruleset condition, and new APIs cover the dependency graph, policy management and a package compliance check aimed at coding agents. Same week: Dependabot gained anonymous organization-level registries (12 Oct) and improved detection of withdrawn alerts (13 Oct).
2026-09-25: [Feature launch] GitHub agentic autofix now uses Copilot Memory to review stored context when resolving security alerts and to persist fix patterns for reuse across autofix and other Copilot capabilities.
2026-09-18: [Feature launch] GitHub-owned npm added a 'Read and write (stage only)' granular access token permission so CI can stage package versions via npm stage publish without direct publish rights, ahead of the January 2027 removal of bypass-2FA publish tokens.</t>
  </si>
  <si>
    <t xml:space="preserve">https://docs.github.com/en/code-security/supply-chain-security/understanding-your-software-supply-chain/exporting-a-software-bill-of-materials-for-your-repository|https://www.gartner.com/reviews/market/software-supply-chain-security</t>
  </si>
  <si>
    <t xml:space="preserve">https://help.hcl-software.com/appscan/ASoC/ent_generate_report.html</t>
  </si>
  <si>
    <t xml:space="preserve">SaaS (AppScan on Cloud); self-managed AppScan 360 on Kubernetes for on-prem, sovereign cloud and air-gapped environments; AppScan Enterprise on-prem</t>
  </si>
  <si>
    <t xml:space="preserve">AppScan SCA covers mainstream package ecosystems (Java/Maven, JavaScript/npm, Python, .NET/NuGet, Go, Ruby, PHP and others per HCL SCA docs; exact matrix not re-verified); SBOM is generated only from SCA scans with a valid SCA licence</t>
  </si>
  <si>
    <t xml:space="preserve">- SBOM report from SCA scans in SPDX (tag-value or JSON) and CycloneDX (XML or JSON) with document name, organisation and creator fields; also CSV/JSON/SARIF exports and open-source licence report
- AppScan 360 2.0 (Sep 2025) added SCA with automated SBOM generation; 2.1 added SBOM and SARIF via get_report API, built-in malware scanning of open-source packages, EPSS scoring
- AppScan Supply Chain Security (with OX Security): Pipeline Bill of Materials (PBOM) tracking version lineage, SLSA, SaaSBOM, tool results and build hashes; OSC&amp;R mapping
- CycloneDX/SPDX spec version numbers: not publicly disclosed
- VEX: not publicly documented (unverified)
- SBOM import/ingestion: not publicly documented (unverified)</t>
  </si>
  <si>
    <t xml:space="preserve">Jenkins, GitHub Actions, GitLab CI, Azure DevOps plugins; IDE plugins (VS Code, IntelliJ, Eclipse, Visual Studio); Jira; REST API (get_report); OX Security Active ASPM for Supply Chain Security; AppScan MCP server for AI coding assistants</t>
  </si>
  <si>
    <t xml:space="preserve">Financial services, government/federal (HCL Federal) and enterprise; SBOM-specific reference customers not publicly disclosed</t>
  </si>
  <si>
    <t xml:space="preserve">HCL AppScan historically placed in Gartner AST Magic Quadrant; 2025-2026 placement unverified; not identified in SSCS MQ</t>
  </si>
  <si>
    <t xml:space="preserve">- SBOM is an SCA report export, not a managed SBOM inventory; no documented VEX, SBOM diff, or SBOM ingestion
- CycloneDX and SPDX spec versions are not stated in public docs; verify before feeding downstream consumers
- No AI-BOM or AI model/MCP-server detection; RapidFix fix generation is documented for SAST and does not act on SBOM or dependency upgrades
- SCA and Supply Chain Security (OX-powered PBOM) are separate offerings with separate licensing; feature parity between ASoC, 360 and Enterprise varies by release
- Pricing not public; SCA requires its own licence entitlement</t>
  </si>
  <si>
    <t xml:space="preserve">Subscription, quote-based; SCA is a separately licensed entitlement; AppScan 360 licensed per deployment; Supply Chain Security sold separately</t>
  </si>
  <si>
    <t xml:space="preserve">HCL AppScan customers, especially regulated or air-gapped environments on AppScan 360, who need CycloneDX/SPDX SBOM exports from SCA without a separate SBOM platform</t>
  </si>
  <si>
    <t xml:space="preserve">- https://help.hcl-software.com/appscan/ASoC/ent_generate_report.html
- https://help.hcl-software.com/appscan/360/2.1.0/360_whats_new.html
- https://www.helpnetsecurity.com/2025/09/12/hclsoftware-hclsoftware-appscan-360o-v2/
- https://www.hcl-software.com/appscan/products/rapidfix
- https://www.hcl-software.com/appscan/products/supply-chain-security
- https://www.hcl-software.com/blog/appscan/how-software-bill-of-materials-sboms-reduce-risk-in-your-software-supply-chain</t>
  </si>
  <si>
    <t xml:space="preserve">SaaS, self-hosted and air-gapped options</t>
  </si>
  <si>
    <t xml:space="preserve">ML model files (pickle, PyTorch, TensorFlow/Keras, ONNX, safetensors, GGUF per vendor materials), model registries (Hugging Face, MLflow, SageMaker, Azure ML), agents and tool-using systems</t>
  </si>
  <si>
    <t xml:space="preserve">- AI Discovery (asset inventory)
- AI Supply Chain Security: model scanning for malware, backdoors, integrity before deployment
- AI Attack Simulation (red teaming)
- AI Runtime Security
- Agentic and MCP protections
- SIEM/SOAR, MLOps, CI/CD integrations</t>
  </si>
  <si>
    <t xml:space="preserve">Hugging Face, MLflow, AWS SageMaker, Azure ML, Databricks, GitHub, Splunk, SIEM/SOAR</t>
  </si>
  <si>
    <t xml:space="preserve">FS, tech, healthcare, US federal; $100M Series B</t>
  </si>
  <si>
    <t xml:space="preserve">not rated in SSCS MQ; Gartner AI security market coverage (Emerging Market Quadrant for AI App Security 2026, position unverified)</t>
  </si>
  <si>
    <t xml:space="preserve">- Not an SBOM tool; needs pairing with SCA/SBOM platform
- Standards-format AIBOM export unverified
- Premium pricing
- Runtime and red-team modules overlap with other AI security vendors</t>
  </si>
  <si>
    <t xml:space="preserve">Organisations consuming many third-party models needing deep model file scanning and MLOps integration</t>
  </si>
  <si>
    <t xml:space="preserve">https://hiddenlayer.com/|https://www.gartner.com/reviews/market/software-supply-chain-security</t>
  </si>
  <si>
    <t xml:space="preserve">SaaS (multi-cloud) or self-hosted</t>
  </si>
  <si>
    <t xml:space="preserve">All Artifactory package types (Maven, npm, PyPI, Docker/OCI, Helm, Go, NuGet, Conan, etc.), binaries in repositories, ML models via Hugging Face remote repos and Model Registry</t>
  </si>
  <si>
    <t xml:space="preserve">- SBOM export CycloneDX and SPDX for builds and release bundles (versions not verified from docs)
- Xray SCA, contextual analysis, secrets, IaC; Advanced Security; Threat Hub feed with impact search for SBOM-entitled users (Xray 3.155.3, Sep 2026); Curation Integrity Violation condition blocks cached packages whose checksum does not match the JFrog Catalog, plus Chainguard remediated Java and Echo Maven/npm support (Xray 3.157.2, Oct 2026)
- JFrog Evidence / AppTrust: signed attestations (in-toto/Sigstore style) attached to packages
- AI Catalog: policy-driven control of AI models and agents; MCP Registry
- VEX: Xray exports CycloneDX VEX/VDR per docs (unverified)
- Regulatory: FedRAMP High offering, SSDF and CRA positioning</t>
  </si>
  <si>
    <t xml:space="preserve">All CI systems, IDEs, Kubernetes, ServiceNow, Jira, Slack, SIEM, GitHub (native integration announced 2025)</t>
  </si>
  <si>
    <t xml:space="preserve">Majority of Fortune 100 per JFrog; FS, tech, defence</t>
  </si>
  <si>
    <t xml:space="preserve">Leader, Gartner MQ Software Supply Chain Security (June 2026), highest Ability to Execute</t>
  </si>
  <si>
    <t xml:space="preserve">- Value depends on Artifactory as the artefact system of record
- SBOM export granularity and CycloneDX version currency not clearly documented
- Quality scoring and supplier SBOM intake portal not core
- Advanced Security and AI Catalog are add-on SKUs
- Docs restructuring (2026) makes feature verification harder</t>
  </si>
  <si>
    <t xml:space="preserve">Subscription tiers (Pro X, Enterprise X, Enterprise+); Advanced Security add-on; quote-based</t>
  </si>
  <si>
    <t xml:space="preserve">Cloud list from ~$150/month (Pro) to enterprise contracts; security add-ons not disclosed</t>
  </si>
  <si>
    <t xml:space="preserve">Enterprises standardised on Artifactory wanting SBOM, attestations and AI model governance in one control plane</t>
  </si>
  <si>
    <t xml:space="preserve">2026-10-15: [Release] Xray 3.157.2 adds a Curation Integrity Violation condition that blocks cached packages whose checksum does not match the JFrog Catalog, Chainguard remediated Java library and Echo Maven and npm support in Curation, new Curation Audit filters, improved impact path lookup and fewer redundant writes when SBOM is enabled, and Oracle Linux OS package detection for Docker images and RPMs. Maintenance releases 3.156.5 to 3.156.16 (6 to 18 Oct) add RHEL 10 support for JFrog Advanced Security and fix Curation federation and project-scoped token issues.
2026-09-27: [Release] Xray 3.155.3 adds a Threat Hub feed on the Overview page with source links and impact search for SBOM-entitled users, lets source code scans run with Xray permissions only, adds JFrog Research Severity and CVSS v4 details to CSV report exports, and speeds up violation processing. A fix-only 3.153.10 followed on 2026-09-30.
2026-09-16: [Release] Xray maintenance releases 3.154.4 (2026-09-14) and 3.154.8 (2026-09-16): Curation support extended to Debian and Ubuntu packages with repeated archive path prefixes, improved NuGet metadata request handling and input validation, and fewer unused RabbitMQ transient queues declared by Xray services. No SBOM, VEX or AI feature changes in these builds.</t>
  </si>
  <si>
    <t xml:space="preserve">- https://jfrog.com/blog/jfrog-named-a-leader-in-the-gartner-magic-quadrant/
- https://jfrog.com/gartner-magic-quadrant/
- https://investors.jfrog.com/news/news-details/2026/JFrog-Positioned-as-a-Leader-in-the-First-Gartner-Magic-Quadrant-for-Software-Supply-Chain-Security/default.aspx</t>
  </si>
  <si>
    <t xml:space="preserve">SCM/CI/CD environments; detects AI models, code assistants, MCP servers and AI-generated code in developer environments; SBOM generation for repos</t>
  </si>
  <si>
    <t xml:space="preserve">- AI Visibility and AI-BOM of models, assistants, MCP servers
- Reputation scores and approval workflows for AI tools
- VibeGuard IDE guardrails (Cursor, Copilot)
- ASPM correlation and remediation; Agentic Remediation opens verified fix pull requests for code and, from Sep 2026, open-source dependencies (release status not stated)
- SBOM generation for compliance</t>
  </si>
  <si>
    <t xml:space="preserve">GitHub, GitLab, Azure DevOps, Jenkins, Jira, IDEs, scanners</t>
  </si>
  <si>
    <t xml:space="preserve">Not disclosed here</t>
  </si>
  <si>
    <t xml:space="preserve">not rated in SSCS MQ (unverified)</t>
  </si>
  <si>
    <t xml:space="preserve">- SBOM depth basic
- AI-BOM format alignment unverified
- Overlaps with existing ASPM investments
- Pricing opaque</t>
  </si>
  <si>
    <t xml:space="preserve">ASPM buyers wanting AI tool and MCP discovery across developer environments</t>
  </si>
  <si>
    <t xml:space="preserve">2026-09-30: [Feature launch] Legit extended Agentic Remediation from first-party code to open-source dependencies: the agent identifies direct or transitive vulnerable packages, picks a safe upgrade (minor bumps preferred), updates manifests and lockfiles, re-scans to verify and opens a pull request, with AI-assisted code adaptation for major upgrades. GA or preview status and supported ecosystems are not stated.</t>
  </si>
  <si>
    <t xml:space="preserve">SaaS; on-prem options claimed</t>
  </si>
  <si>
    <t xml:space="preserve">Source, containers, third-party SBOMs; xBOM Manager: SBOM, AIBOM, CBOM, FBOM; UnifAI: AI asset discovery across models, agents, agentic apps</t>
  </si>
  <si>
    <t xml:space="preserve">- SBOM360: generation, integrity attestation, agentic AI find-and-fix for source and containers
- xBOM Manager: enterprise xBOM lifecycle and compliance (CRA, EO 14028, PCI)
- Gold Open Source: hardened packages and images
- UnifAI: AI asset discovery, agentic app security, AI governance
- Frontier Defense (GA 25 Sep 2026): multi-agent AI vulnerability discovery, exploit validation and verified patch generation, separate from the xBOM products
- VEX support (unverified detail)
- Regulatory mapping across CRA and US EO</t>
  </si>
  <si>
    <t xml:space="preserve">GitHub, GitLab, Jenkins, Artifactory, container registries; API</t>
  </si>
  <si>
    <t xml:space="preserve">Not publicly disclosed in detail; Lineaje cites Fortune 500 and federal customers</t>
  </si>
  <si>
    <t xml:space="preserve">- Limited public technical documentation; heavy marketing language
- Website fetch blocked during this research; feature verification incomplete
- Smaller install base than leaders
- AIBOM format alignment unverified
- Pricing opaque</t>
  </si>
  <si>
    <t xml:space="preserve">Enterprises wanting one vendor for SBOM, AIBOM, CBOM management plus hardened OSS supply</t>
  </si>
  <si>
    <t xml:space="preserve">2026-09-25: [Feature launch] Lineaje announced Frontier Defense as a generally available standalone product: a multi-agent AI engine (nine isolated sandboxes in a Create/Judge/Verify pipeline, gVisor runtime validation) that discovers novel vulnerabilities, validates exploitability, generates verified exploits and compatible patches, and verifies remediation; supports Anthropic, OpenAI, Llama, Gemini, Gemma, OpenRouter and Bedrock models.</t>
  </si>
  <si>
    <t xml:space="preserve">https://finance.yahoo.com/technology/ai/articles/lineaje-recognized-visionary-2026-gartner-154300110.html|https://www.lineaje.com/</t>
  </si>
  <si>
    <t xml:space="preserve">https://www.manifestcyber.com/aibom</t>
  </si>
  <si>
    <t xml:space="preserve">SaaS; GovCloud/FedRAMP-aligned deployments claimed</t>
  </si>
  <si>
    <t xml:space="preserve">Ingests any CycloneDX/SPDX; generation via integrations; AIBOM: GenAI models, custom ML models, AI-enabled apps, source-code embedded models, Hugging Face open-weight models</t>
  </si>
  <si>
    <t xml:space="preserve">- SBOM ingestion, enrichment, sharing and vendor risk workflows
- AIBOM engine (Aug 2025, Black Hat) and AI Governance Policy Engine; AI Risk dashboard
- Jul 2026: AI-powered exposure analysis, product-level risk, foreign influence detection
- Regulatory: EU AI Act, NIST AI RMF, EO 14028, CRA
- VEX handling and vulnerability prioritisation
- Open community AIBOM wiki (github.com/manifest-cyber/aibom)</t>
  </si>
  <si>
    <t xml:space="preserve">GitHub, GitLab, Jenkins, Artifactory, Jira, ServiceNow, Syft/Trivy/cdxgen as generators</t>
  </si>
  <si>
    <t xml:space="preserve">Fortune 500 and US federal/defence; design partners in automotive, healthcare, aerospace; $15M Series A (Apr 2025)</t>
  </si>
  <si>
    <t xml:space="preserve">- Relies on third-party generators for SBOM creation
- AIBOM output standard and MCP/agent coverage not documented
- US federal focus; limited presence in India/APAC
- Model malware scanning not evidenced
- Pricing opaque</t>
  </si>
  <si>
    <t xml:space="preserve">Organisations needing an SBOM plus AIBOM system of record with governance workflows, especially in US-regulated sectors</t>
  </si>
  <si>
    <t xml:space="preserve">- https://www.manifestcyber.com/aibom
- https://www.manifestcyber.com/press/first-ai-risk-transparency-solution
- https://www.finsmes.com/2025/04/manifest-raises-15m-in-series-a-funding.html
- https://github.com/manifest-cyber/aibom</t>
  </si>
  <si>
    <t xml:space="preserve">SaaS; on-premises agent options</t>
  </si>
  <si>
    <t xml:space="preserve">200+ languages/package managers claimed, containers, images; Mend AI: AI models, frameworks, datasets, agents, MCP servers, RAG components discovered in code</t>
  </si>
  <si>
    <t xml:space="preserve">- SBOM export SPDX and CycloneDX; import third-party SBOMs; continuously regenerated
- VEX exploitability context embedded per component
- EO 14028 and EU CRA positioning; CISA-compatible formatting claims
- Reachability analysis, malicious package detection
- Mend AI: AI-BOM, policy engine, system prompt hardening, AI red teaming, runtime protection
- Regulatory: EU AI Act and NIST AI RMF alignment claims</t>
  </si>
  <si>
    <t xml:space="preserve">GitHub, GitLab, Bitbucket, Azure DevOps, Jenkins, Artifactory, Jira, IDEs, ServiceNow</t>
  </si>
  <si>
    <t xml:space="preserve">Mend cites customers in FS, healthcare, tech (e.g. Siemens, Vonage historically)</t>
  </si>
  <si>
    <t xml:space="preserve">Visionary in Gartner AST MQ 2025; SSCS MQ 2026 position unverified (listed on Peer Insights market)</t>
  </si>
  <si>
    <t xml:space="preserve">- AI-BOM export format and standards alignment not documented
- No binary/firmware analysis
- No SBOM quality scoring
- SPDX 3.0 unverified
- AI red teaming and runtime modules add cost and overlap with dedicated AI security vendors</t>
  </si>
  <si>
    <t xml:space="preserve">Subscription per developer/application; quote-based</t>
  </si>
  <si>
    <t xml:space="preserve">Mend SCA customers wanting AI component discovery and governance inside the existing AppSec platform</t>
  </si>
  <si>
    <t xml:space="preserve">- https://www.mend.io/mend-ai/
- https://www.mend.io/sbom/
- https://www.mend.io/blog/the-vision-behind-mends-recognition/</t>
  </si>
  <si>
    <t xml:space="preserve">SaaS with connectors to cloud, data platforms and SaaS</t>
  </si>
  <si>
    <t xml:space="preserve">AI agents, models, MCPs, tools, notebooks, data pipelines across cloud and SaaS; endpoint and homegrown agents</t>
  </si>
  <si>
    <t xml:space="preserve">- AI-SPM asset discovery (agents, models, MCPs, tools)
- Agent access control
- Endpoint agent security (announced Sep 2026, per vendor; GA status not stated): inventory of agents, MCP servers and skills on managed devices, Governed Registry with approve/review/block status, IdP-aware policy for Claude Code, Claude Cowork, Cursor, Codex, Windsurf, Kiro, Antigravity and OpenClaw
- AI-DR runtime detection
- AI red teaming
- $100M Series B (Jul 2025, Evolution Equity)
- Certifications: SOC 2, ISO 27001, HIPAA</t>
  </si>
  <si>
    <t xml:space="preserve">AWS, Azure, GCP, Databricks, Snowflake, Hugging Face, SaaS agents, EDR/MDM tools, IdP users and groups, coding agents (Claude Code, Cursor, Codex, Windsurf, Kiro, Antigravity)</t>
  </si>
  <si>
    <t xml:space="preserve">UiPath, Kantar, Endor Labs, Best Buy, Nielsen</t>
  </si>
  <si>
    <t xml:space="preserve">Gartner 2026 Emerging Market Quadrant for AI Application Security: Market Shaper (per vendor); not in SSCS MQ</t>
  </si>
  <si>
    <t xml:space="preserve">- Not an SBOM platform
- Standards-based AIBOM export unverified
- Young vendor; roadmap volatility
- Pricing opaque</t>
  </si>
  <si>
    <t xml:space="preserve">Enterprises needing runtime discovery and control of agents/MCPs beyond code scanning</t>
  </si>
  <si>
    <t xml:space="preserve">2026-09-28: [Feature launch] Noma announced endpoint agent security (vendor press release; GA or preview status not stated): a live inventory of agents, MCP servers and skills on managed devices, a governed registry with approval status, identity-aware tool and action level access control, and AI-DR runtime protection for coding agents and assistants (Claude Code, Claude Cowork, Cursor, Codex, Windsurf, Kiro, Antigravity, OpenClaw), deployed through EDR/MDM integration.</t>
  </si>
  <si>
    <t xml:space="preserve">https://noma.security/|https://www.securityweek.com/noma-security-raises-100-million-for-ai-security-platform/</t>
  </si>
  <si>
    <t xml:space="preserve">Self-deployed eBPF sensors (Kubernetes, VMs) with SaaS console</t>
  </si>
  <si>
    <t xml:space="preserve">Runtime processes; open-source AI models and frameworks (LangChain, Hugging Face), agent workflows; model integrity in GPU/CPU memory</t>
  </si>
  <si>
    <t xml:space="preserve">- Runtime AI inventory (shadow AI in clusters)
- Model integrity inspection in memory
- Agent data exfiltration prevention
- Exploitability by executed code (90-99% noise reduction claim)
- $60M round Aug 2026, $140M total</t>
  </si>
  <si>
    <t xml:space="preserve">AWS Security Hub, Kubernetes, SIEM</t>
  </si>
  <si>
    <t xml:space="preserve">Instacart, Databricks, Salesforce, Cresta, DevRev</t>
  </si>
  <si>
    <t xml:space="preserve">- Runtime-only; no build-time SBOM
- Needs sensor deployment
- Standards-format AIBOM absent
- Pricing opaque</t>
  </si>
  <si>
    <t xml:space="preserve">Complementing static SBOM/AIBOM with runtime truth of which models and agents actually execute</t>
  </si>
  <si>
    <t xml:space="preserve">https://www.oligo.security/|https://www.businesswire.com/news/home/20260804840699/en/OLIGO-Security-Crosses-$140M-in-Total-Funding-with-$60M-Round-to-Stop-AI-Driven-Attacks</t>
  </si>
  <si>
    <t xml:space="preserve">https://docs.debricked.com/product/exporting-sbom/sbom-export</t>
  </si>
  <si>
    <t xml:space="preserve">SaaS (Debricked / OpenText Core SCA cloud); results surface in Fortify Software Security Center (on-prem) and OpenText Core Application Security (formerly Fortify on Demand); CLI (github.com/debricked/cli) runs in CI</t>
  </si>
  <si>
    <t xml:space="preserve">npm, yarn, pnpm, pip, Poetry, Maven, Gradle, Go, Composer, Bundler, NuGet, Cargo (12 ecosystems per third-party review; official matrix in docs.debricked.com); Docker images only via workaround (generate CycloneDX with docker sbom, upload via CLI)</t>
  </si>
  <si>
    <t xml:space="preserve">- SBOM export in CycloneDX and SPDX 2.3 JSON via web UI (global, repository or group scope), REST API (/api/1.0/open/sbom/generate and /download) and CLI (manual or auto after scan); toggles for licenses, vulnerabilities and root fixes
- Enterprise tier only for SBOM export
- Fortify SSC 25.4: download Debricked CycloneDX JSON SBOM per application version
- OpenText Core Application Security 26.2 (Apr 2026): CycloneDX SBOM import extended to CycloneDX 1.7 JSON
- Open Source Select: dependency health scoring (maintenance, community, release cadence)
- ML-based vulnerability data enrichment (exploit likelihood, time-to-fix predictions per vendor marketing)
- VEX: not publicly documented (unverified)
- CycloneDX export spec version: not stated in docs (unverified)</t>
  </si>
  <si>
    <t xml:space="preserve">GitHub, GitLab, Bitbucket, Azure DevOps; Jenkins, GitHub Actions, GitLab CI, Azure Pipelines via debricked CLI; Fortify SSC and OpenText Core Application Security (SCA alongside SAST); IDE plugins; automation rules and Jira</t>
  </si>
  <si>
    <t xml:space="preserve">Fortify installed base in government, financial services and defence; Core SCA reference customers not publicly disclosed</t>
  </si>
  <si>
    <t xml:space="preserve">OpenText Fortify historically placed in Gartner AST Magic Quadrant; 2025-2026 placement and SSCS MQ inclusion unverified</t>
  </si>
  <si>
    <t xml:space="preserve">- SBOM export gated to Enterprise tier; Free and Premium cannot export
- No native container image scanning; Docker images need a Syft/docker-sbom CycloneDX workaround uploaded via CLI
- No VEX, no AI-BOM, no AI model or MCP detection; Aviator AI is SAST-scoped and does not touch SCA or SBOM
- Two product surfaces (Debricked cloud UI vs Fortify SSC / Core AppSec) with different SBOM capabilities: SSC download is CycloneDX only
- No function-level reachability analysis; malicious package detection relies on public advisories rather than behavioural analysis</t>
  </si>
  <si>
    <t xml:space="preserve">Freemium plus per-developer subscription; Enterprise tier required for SBOM export; Open Source Select billed separately; Fortify SSC/Core AppSec licensed separately (application- or developer-based)</t>
  </si>
  <si>
    <t xml:space="preserve">Third-party review cites Free $0, Premium about $25/developer/month, Enterprise from about $30/developer/month; official price page not verified</t>
  </si>
  <si>
    <t xml:space="preserve">Fortify SSC or Core Application Security shops that want SCA and CycloneDX/SPDX SBOMs consolidated with SAST results under one OpenText contract</t>
  </si>
  <si>
    <t xml:space="preserve">- https://docs.debricked.com/product/exporting-sbom/sbom-export
- https://www.microfocus.com/documentation/fortify-software-security-center/2540/ssc-ugd-html-25.4.0/doc/2405_25.4.0/a4e94d0554cc_download_sbom.html
- https://www.microfocus.com/documentation/fortify-on-demand/262/core-appsec-rn-26.2-en.pdf
- https://docs.debricked.com/tips-and-tricks/workarounds/scanning-docker-images
- https://www.opentext.com/products/application-security-aviator
- https://appsecsanta.com/debricked</t>
  </si>
  <si>
    <t xml:space="preserve">https://www.paloaltonetworks.com/prisma/prisma-airs</t>
  </si>
  <si>
    <t xml:space="preserve">SaaS (Prisma AIRS); ModelScan CLI local</t>
  </si>
  <si>
    <t xml:space="preserve">Model files: pickle, H5/HDF5, SavedModel/protobuf, Keras v3 (ModelScan); Guardian extended to safetensors and more (vendor claim); Hugging Face gateway; AI apps, agents, MCP servers in Prisma AIRS</t>
  </si>
  <si>
    <t xml:space="preserve">- Acquisition of Protect AI completed 22 Jul 2025; Guardian model scanning, Radar posture (AI BOM inventory), Recon red teaming folded into Prisma AIRS
- Model scanning, posture management, red teaming, runtime protection, AI agent security
- ModelScan OSS: static byte-level scan of unsafe serialisation
- Regulatory: OWASP LLM Top 10, NIST AI RMF alignment</t>
  </si>
  <si>
    <t xml:space="preserve">Hugging Face, MLflow, SageMaker, Azure ML, Databricks, Prisma Cloud, Cortex, SIEM</t>
  </si>
  <si>
    <t xml:space="preserve">Palo Alto enterprise base; Protect AI federal and FS customers</t>
  </si>
  <si>
    <t xml:space="preserve">- Post-acquisition packaging and roadmap changes; standalone Protect AI SKUs retired
- ModelScan OSS maintenance cadence slowed (safetensors not listed)
- Premium platform pricing
- Not an SBOM tool</t>
  </si>
  <si>
    <t xml:space="preserve">Subscription (Prisma AIRS credits/modules); ModelScan free</t>
  </si>
  <si>
    <t xml:space="preserve">Palo Alto customers wanting model scanning and AI posture inside Prisma; ModelScan for free CI gating of pickle risk</t>
  </si>
  <si>
    <t xml:space="preserve">https://www.paloaltonetworks.com/company/press/2025/palo-alto-networks-completes-acquisition-of-protect-ai|https://github.com/protectai/modelscan</t>
  </si>
  <si>
    <t xml:space="preserve">https://prompt.security/</t>
  </si>
  <si>
    <t xml:space="preserve">SaaS gateway, browser extension, endpoint agent integration</t>
  </si>
  <si>
    <t xml:space="preserve">GenAI interactions, shadow AI app usage, agents and MCP traffic (vendor claims)</t>
  </si>
  <si>
    <t xml:space="preserve">- AI gateway and prompt injection/data leakage prevention
- Shadow AI discovery
- Agentic and MCP security
- Acquisition by SentinelOne announced 5 Aug 2025 and completed 2025 (reported ~$250M; SEC filing cites lower cash consideration; unverified)</t>
  </si>
  <si>
    <t xml:space="preserve">SentinelOne Singularity, browsers, IdPs</t>
  </si>
  <si>
    <t xml:space="preserve">Dozens of enterprises (vendor claim)</t>
  </si>
  <si>
    <t xml:space="preserve">- Not a BOM tool; governance of usage, not composition
- Post-acquisition roadmap uncertainty
- Pricing opaque</t>
  </si>
  <si>
    <t xml:space="preserve">Subscription</t>
  </si>
  <si>
    <t xml:space="preserve">Runtime GenAI usage governance, not AI supply chain inventory</t>
  </si>
  <si>
    <t xml:space="preserve">https://prompt.security/blog/prompt-security-sentinelone-a-new-chapter-begins|https://en.wikipedia.org/wiki/Prompt_Security</t>
  </si>
  <si>
    <t xml:space="preserve">Dependencies and containers; SBOM and AIBOM management</t>
  </si>
  <si>
    <t xml:space="preserve">- Generates and manages SBOM (CycloneDX JSON/XML, SPDX 2.3 and 3.0) and AIBOM
- Provenance attachment, policy gates
- Griffin AI autonomous reachability-based remediation
- Usage-based pricing; discounts for startups/OSS</t>
  </si>
  <si>
    <t xml:space="preserve">GitHub, CI</t>
  </si>
  <si>
    <t xml:space="preserve">- Very small vendor; publishes its own comparative rankings
- Limited independent validation
- No enterprise references</t>
  </si>
  <si>
    <t xml:space="preserve">Usage-based</t>
  </si>
  <si>
    <t xml:space="preserve">Watchlist only</t>
  </si>
  <si>
    <t xml:space="preserve">https://safeguard.sh/|https://safeguard.sh/resources/blog/best-aibom-tools-2026</t>
  </si>
  <si>
    <t xml:space="preserve">SaaS; on-prem/air-gapped options</t>
  </si>
  <si>
    <t xml:space="preserve">Source, CI builds, containers via Valint (built on Syft lineage); third-party SBOM ingestion</t>
  </si>
  <si>
    <t xml:space="preserve">- Signed SBOM and attestation generation (in-toto, Sigstore or own PKI)
- Evidence collection across SDLC; policy-as-code guardrails
- SLSA and SSDF compliance reporting; CRA positioning
- VEX advisories and SBOM sharing portal
- Continuous assurance of artefact integrity</t>
  </si>
  <si>
    <t xml:space="preserve">GitHub, GitLab, Jenkins, Azure DevOps, Artifactory, Kubernetes admission</t>
  </si>
  <si>
    <t xml:space="preserve">- Small vendor
- AI capabilities unverified
- Less SCA depth than leaders
- Limited regional presence
- Pricing opaque</t>
  </si>
  <si>
    <t xml:space="preserve">Free tier; subscription</t>
  </si>
  <si>
    <t xml:space="preserve">Teams prioritising signed attestations and SSDF/SLSA evidence over SCA depth</t>
  </si>
  <si>
    <t xml:space="preserve">https://scribesecurity.com/|https://github.com/scribe-security/valint</t>
  </si>
  <si>
    <t xml:space="preserve">SaaS (multi-region incl. EU/AU); Snyk CLI local; broker for private repos</t>
  </si>
  <si>
    <t xml:space="preserve">- snyk sbom: all Snyk-supported package managers (Maven, Gradle, npm, Yarn, pip, Go, NuGet, etc.) plus unmanaged C/C++; containers via snyk container sbom
- snyk aibom: Python, Java, JavaScript, Go source projects; detects models, agents, tools, MCP clients/servers</t>
  </si>
  <si>
    <t xml:space="preserve">- snyk sbom: CycloneDX 1.4/1.5/1.6 (JSON/XML), SPDX 2.3 JSON; Enterprise plan only
- snyk sbom test: scan a third-party SBOM for vulnerabilities
- Reachability and fix advice, Snyk Risk Score, EPSS
- VEX: limited (ignore policies exportable; formal CycloneDX VEX export unverified)
- AI-BOM upload to org (--upload) for inventory
- Regulatory: EO 14028 and CRA marketing; no formal element-level compliance report</t>
  </si>
  <si>
    <t xml:space="preserve">GitHub, GitLab, Bitbucket, Azure Repos, Jenkins, CircleCI, Jira, IDEs, Docker Hub, ECR/ACR/GCR, Artifactory/Nexus, ServiceNow</t>
  </si>
  <si>
    <t xml:space="preserve">Large developer-centric enterprises across FS, retail, tech (Snyk cites Salesforce, Atlassian historically)</t>
  </si>
  <si>
    <t xml:space="preserve">Gartner MQ SSCS June 2026: participation confirmed on Gartner Peer Insights market listing; quadrant position not confirmed via public press release (unverified). Leader in Gartner AST MQ 2025</t>
  </si>
  <si>
    <t xml:space="preserve">- SBOM export gated to Enterprise plan
- AI-BOM limited to four languages and source-level heuristics; no dataset or runtime discovery
- No SBOM management/portal for supplier SBOM intake beyond sbom test
- VEX authoring/export immature
- Snyk AI-BOM inventory is per-repo; enterprise-wide AI governance views still developing</t>
  </si>
  <si>
    <t xml:space="preserve">Free / Team per developer / Enterprise quote</t>
  </si>
  <si>
    <t xml:space="preserve">Team list price ~$25/dev/month (product-dependent); Enterprise not disclosed</t>
  </si>
  <si>
    <t xml:space="preserve">Developer-first enterprises on Snyk wanting a GA, code-level AI-BOM that maps MCP dependencies</t>
  </si>
  <si>
    <t xml:space="preserve">2026-10-08: [Release] Snyk CLI v1.1308.0 adds HTML report output for 'snyk code test' and 'snyk secrets test', changes the experimental 'snyk agent-scan' command to report risk indicators instead of issue codes, and ships reliability fixes for Maven and Gradle 'snyk sbom' generation and '--print-graph'. No AI-BOM changes; a follow-up v1.1308.1 is listed without an exact date.
2026-09-23: [Release] Snyk CLI v1.1307.4 adds an experimental 'snyk studio' command that sets up Snyk Studio inside supported AI coding tools, adds severity and breakability filter flags for 'snyk fix --agentic', and fixes flag routing for --iac, --docker, --container and --code (published date, page shows '4 days ago' relative to 2026-09-28).
2026-09-18: [Feature launch] Snyk Evo MCP Server is now available: any MCP client (Claude, Codex, Cursor and others) can connect to Evo, Snyk's AI security platform, to query AI assets and their connections, read policies, and create or update policies from inside the agent the developer already uses (vendor claim, Snyk product updates page).</t>
  </si>
  <si>
    <t xml:space="preserve">- https://docs.snyk.io/developer-tools/snyk-cli/commands/aibom.md
- https://docs.snyk.io/developer-tools/snyk-cli/commands/sbom
- https://labs.snyk.io/resources/mcps-snyk-ai-bom/
- https://labs.snyk.io/resources/aibom-cli-snyk/</t>
  </si>
  <si>
    <t xml:space="preserve">SaaS or self-hosted</t>
  </si>
  <si>
    <t xml:space="preserve">Any ecosystem in ingested CycloneDX/SPDX; Sonatype Lifecycle generates for Java, JS, Python, Go, .NET, containers; Hugging Face AI models supported as components</t>
  </si>
  <si>
    <t xml:space="preserve">- Import/generate CycloneDX and SPDX; continuous monitoring of first- and third-party SBOMs
- VEX management: review, update analysis state and justification; CycloneDX VEX
- Component intelligence for vulnerabilities, legal, malware (Sonatype data)
- AIBOM support: inspect AI components and Hugging Face models across SBOMs
- Regulatory mapping: DORA, CRA, SEBI, CERT-In, NZISM, NIST SP 800-218, PCI DSS
- Repository Firewall blocks malicious packages and models
- Nexus Repository Pro+ (announced 14 Oct 2026, 'available today' per vendor): Repository Firewall malware protection and policy enforcement built into the repository, screening open source packages, AI models and MCP servers at request time whether a developer or an AI agent pulls them; Nexus Repository Enterprise edition to follow 'in the coming weeks' (vendor claim)</t>
  </si>
  <si>
    <t xml:space="preserve">Nexus Repository, Artifactory, Jenkins, GitHub, GitLab, Azure DevOps, Jira, IDEs, ServiceNow</t>
  </si>
  <si>
    <t xml:space="preserve">FS, government, telecom; Sonatype cites large banks and federal agencies; Awardable on US DoD Platform One Solutions Marketplace (Sep 2026)</t>
  </si>
  <si>
    <t xml:space="preserve">Leader, Gartner MQ Software Supply Chain Security (June 2026)</t>
  </si>
  <si>
    <t xml:space="preserve">- Best value only inside the Sonatype platform; standalone SBOM Manager pricing unclear
- Binary/firmware analysis limited
- SBOM quality scoring less transparent than sbomqs-style scoring
- SPDX 3.0 support unverified
- Model scanning depth vs specialists (HiddenLayer, Protect AI) unverified</t>
  </si>
  <si>
    <t xml:space="preserve">Subscription (per application/developer); quote-based</t>
  </si>
  <si>
    <t xml:space="preserve">Enterprises on Nexus/Lifecycle wanting SBOM lifecycle management with regulatory mapping and AI component visibility</t>
  </si>
  <si>
    <t xml:space="preserve">2026-10-14: [Feature launch] Sonatype announced Nexus Repository Pro+, which builds Repository Firewall malware protection and policy enforcement into the artifact repository so open source packages, AI models and MCP servers are screened and blocked or quarantined when a developer or AI agent requests them. Pro+ is 'available today' per vendor; a Nexus Repository Enterprise edition follows in the coming weeks. No pricing was published.
2026-09-22: [Feature launch] Sonatype achieved Awardable status on the US Department of Defense Platform One Solutions Marketplace, making Nexus One (Lifecycle, Nexus Repository, Firewall, Guide, SBOM Manager) procurable by DoW organisations without manual review; marketplace availability rather than a product feature.</t>
  </si>
  <si>
    <t xml:space="preserve">- https://www.sonatype.com/products/sbom-manager
- https://www.sonatype.com/press-releases/sonatype-named-a-leader-in-the-2026-gartner-magic-quadrant
- https://www.sonatype.com/products/open-source-security-dependency-management</t>
  </si>
  <si>
    <t xml:space="preserve">https://docs.veracode.com/r/Supply_chain_management_and_SBOMs</t>
  </si>
  <si>
    <t xml:space="preserve">SaaS (Veracode Platform); Veracode CLI and SCA agent run locally/in CI for source and container SBOM generation</t>
  </si>
  <si>
    <t xml:space="preserve">Veracode SCA agent-based and upload scans across mainstream ecosystems (Java, .NET, JavaScript/npm, Python, Ruby, PHP, Go, Scala, Swift/Objective-C, C/C++ per Veracode SCA docs; exact matrix not re-verified); CLI sbom command: container images (Alpine, Amazon Linux, CentOS, Debian, Oracle Linux, RHEL, Ubuntu), git repos, archives, directories; limited output for unbuilt Gradle projects</t>
  </si>
  <si>
    <t xml:space="preserve">- REST SBOM API (/srcclr/sbom/v1/targets/{guid}/cyclonedx) for application profiles and agent-based projects: CycloneDX 1.4 JSON and SPDX 2.3 JSON, optional vulnerability data, 13-month scan window
- veracode sbom CLI (Syft-based): cyclonedx-json, cyclonedx-xml (CycloneDX 1.6), spdx-json, spdx-tag-value (SPDX 2.3), Syft JSON, GitHub dependency snapshot
- veracode scan (container/IaC) outputs CycloneDX 1.6 XML or Syft JSON
- veracode sca agent-based scans publish SBOMs in CycloneDX 1.6 and SPDX 2.3 (CLI 2.41.0, July 2025)
- SBOM upload-and-scan: ingest CycloneDX (up to 1.6) or SPDX (up to 2.3) JSON alongside lockfiles for SCA analysis
- Package Firewall (June 2025, enhanced Jan 2026) blocks malicious/risky packages at npm, PyPI, Maven, Nexus, Artifactory, Azure Artifacts
- VEX: no public documentation (unverified)</t>
  </si>
  <si>
    <t xml:space="preserve">Veracode CLI in GitHub Actions, GitLab CI, Jenkins, Azure DevOps (per-repo assets in ADO, CLI 2.44.0); IDE plugins (VS Code, Visual Studio, Eclipse, JetBrains) with OAuth SSO; Veracode Risk Manager; Package Firewall with npm/PyPI/Maven/Nexus/Artifactory/Azure Artifacts; REST API with HMAC auth</t>
  </si>
  <si>
    <t xml:space="preserve">Financial services, government and enterprise; SBOM-specific reference customers not publicly disclosed</t>
  </si>
  <si>
    <t xml:space="preserve">Long-standing Gartner AST Magic Quadrant Leader in prior years; 2025-2026 placement in AST or Software Supply Chain Security MQ unverified</t>
  </si>
  <si>
    <t xml:space="preserve">- Format versions are inconsistent across surfaces: REST SBOM API is CycloneDX 1.4 while CLI is CycloneDX 1.6, and REST API is JSON only
- No documented VEX generation or consumption; exploitability context stays inside the Veracode Platform
- No AI-BOM, AI model or MCP-server detection; no official Veracode MCP server as of verification
- SBOM API requires completed policy-level scans within 13 months and specific roles (Results API or Security Lead/Admin)
- Pricing not public; SCA and Container are separately licensed within the platform</t>
  </si>
  <si>
    <t xml:space="preserve">Subscription, quote-based; SCA, Container Security and Package Firewall licensed per application/developer within the Veracode Platform (public detail limited)</t>
  </si>
  <si>
    <t xml:space="preserve">Veracode SCA customers who need CycloneDX/SPDX SBOMs from existing policy scans or container images and prefer a single AST vendor over a dedicated SBOM manager</t>
  </si>
  <si>
    <t xml:space="preserve">2026-10-13: [Release] Veracode CLI v2.53.0 adds 'veracode scan static' for running static scans and reviewing findings in a Git workflow, 'veracode findings static' for cached results, and '--csharp-source' support in 'veracode package'. No changes to the sbom or SCA commands; SBOM format versions unchanged.
2026-09-23: [Release] Veracode CLI v2.52.1 ships performance improvements for the 'veracode fix sca' command on JavaScript projects; same-day platform notes add multiple team assignment for DAST targets (not SBOM-related).</t>
  </si>
  <si>
    <t xml:space="preserve">- https://docs.veracode.com/r/Generate_an_SBOM_with_the_REST_API
- https://docs.veracode.com/r/veracode_sbom
- https://docs.veracode.com/r/veracode_scan
- https://docs.veracode.com/r/Supply_chain_management_and_SBOMs
- https://docs.veracode.com/updates/r/Veracode_CLI_Updates
- https://www.businesswire.com/news/home/20260128773416/en/Veracode-Releases-Platform-Enhancements-as-Software-Supply-Chain-Attacks-Surge</t>
  </si>
  <si>
    <t xml:space="preserve">SaaS (repo scanning)</t>
  </si>
  <si>
    <t xml:space="preserve">Source repositories: models (provider/type), datasets bundled in code, AI SDKs, agent frameworks, MCP servers agents connect to</t>
  </si>
  <si>
    <t xml:space="preserve">- CycloneDX ML-BOM (1.6) output from AI Inventory scanning
- Compatible with SPDX and VEX workflows
- Built for EU AI Act and NIST AI RMF audit requests
- Part of ZeroPath AI-native AppSec platform</t>
  </si>
  <si>
    <t xml:space="preserve">GitHub, GitLab</t>
  </si>
  <si>
    <t xml:space="preserve">- Young vendor
- Depth of MCP/agent detection unverified
- No runtime discovery
- Pricing not public</t>
  </si>
  <si>
    <t xml:space="preserve">Teams wanting a standards-based ML-BOM as a by-product of repo scanning</t>
  </si>
  <si>
    <t xml:space="preserve">https://zeropath.com/products/aibom|https://safeguard.sh/resources/blog/best-aibom-tools-2026</t>
  </si>
  <si>
    <t xml:space="preserve">pip, Docker, Helm, GitHub Action; self-hosted control plane; MCP server mode</t>
  </si>
  <si>
    <t xml:space="preserve">MCP server configs, agent and skill definitions, PyPI/npm dependencies, container images and SBOMs, cloud (AWS, Azure, GCP, Snowflake, Kubernetes), IaC, GitHub Actions, secrets</t>
  </si>
  <si>
    <t xml:space="preserve">- Outputs CycloneDX, SPDX, SARIF, JSON inventory with provenance
- Graph findings and evidence model
- Runtime gateway allow/warn/block for agents
- MCP server mode (86 tools)
- Compliance narrative exports
- Read-only credential validation (GitHub, Stripe) and multi-tenant scoping of graph REST routes (v0.105-0.106, Sep 2026)
- Rapid release cadence (v0.106.1, 27 Sep 2026)</t>
  </si>
  <si>
    <t xml:space="preserve">GitHub Actions, Kubernetes, MCP clients</t>
  </si>
  <si>
    <t xml:space="preserve">- Single-maintainer project; sustainability risk
- No commercial support
- Pre-1.0 API churn
- Agent BOM has no ratified CycloneDX schema yet (CycloneDX issue #895 closed as duplicate)</t>
  </si>
  <si>
    <t xml:space="preserve">Pilots that need an MCP/agent inventory now, ahead of vendor tooling</t>
  </si>
  <si>
    <t xml:space="preserve">2026-09-27: [Release] agent-bom v0.106.1 scopes the exposure-paths and should-i-deploy graph REST routes to the authenticated tenant, isolates demo data to prevent cross-tenant leakage, and adds bounded tenant-scoped relationship paging across SQLite, Postgres and REST backends.
2026-09-18: [Release] agent-bom v0.105.0 adds bounded read-only credential validators for GitHub and Stripe (valid/invalid/unknown verdicts), OAuth configuration for Apache Polaris and Iceberg REST catalogs, refined MCP resource documentation and PyPI packaging alignment.</t>
  </si>
  <si>
    <t xml:space="preserve">- https://github.com/msaad00/agent-bom
- https://www.pulsemcp.com/servers/msaad00-agent-bom
- https://github.com/CycloneDX/specification/issues/895</t>
  </si>
  <si>
    <t xml:space="preserve">CLI</t>
  </si>
  <si>
    <t xml:space="preserve">Format-agnostic SBOM operations (SPDX, CycloneDX 1.0-1.6, JSON/XML) via protobom</t>
  </si>
  <si>
    <t xml:space="preserve">- fetch (HTTPS, OCI, Git, GitHub, GitLab with recursive external refs), merge, push, alias, tag, local cache DB
- NTIA minimum field awareness
- Apache-2.0
- Experimental status</t>
  </si>
  <si>
    <t xml:space="preserve">OCI registries, GitHub, GitLab</t>
  </si>
  <si>
    <t xml:space="preserve">Not applicable</t>
  </si>
  <si>
    <t xml:space="preserve">- Experimental; no stable release guarantees
- CycloneDX 1.7 support unverified
- No UI or management
- Small maintainer base</t>
  </si>
  <si>
    <t xml:space="preserve">Scripting SBOM transport and merging across registries in CI</t>
  </si>
  <si>
    <t xml:space="preserve">https://github.com/bomctl/bomctl|https://openssf.org/projects/</t>
  </si>
  <si>
    <t xml:space="preserve">Self-hosted (Helm) or Chainloop cloud</t>
  </si>
  <si>
    <t xml:space="preserve">Format-agnostic evidence store: CycloneDX, SPDX, VEX, SARIF, container refs, 50+ evidence types</t>
  </si>
  <si>
    <t xml:space="preserve">- Workflow contracts define required attestations; in-toto and Sigstore signing; SLSA provenance
- Forward SBOMs to Dependency-Track and GUAC
- Policy enforcement on evidence (Rego)
- Apache-2.0
- Regulatory: evidence trail for SSDF/CRA audits</t>
  </si>
  <si>
    <t xml:space="preserve">Dependency-Track, GUAC, OCI registries, GitHub Actions, GitLab, Jenkins, Slack, Discord</t>
  </si>
  <si>
    <t xml:space="preserve">- Not a generator or analyser
- Small community (about 600 GitHub stars)
- Enterprise support depends on small vendor
- No AI features
- Requires policy engineering</t>
  </si>
  <si>
    <t xml:space="preserve">OSS free; enterprise subscription</t>
  </si>
  <si>
    <t xml:space="preserve">Compliance teams needing a signed evidence store bridging CI outputs to Dependency-Track/GUAC</t>
  </si>
  <si>
    <t xml:space="preserve">2026-09-30: [Release] Chainloop v1.112.0 lists one notable change: a specification (spec 002) for capturing AI coding sessions as evidence. The release notes show a spec only, so shipped capture functionality is unverified.</t>
  </si>
  <si>
    <t xml:space="preserve">https://github.com/chainloop-dev/chainloop|https://chainloop.dev/</t>
  </si>
  <si>
    <t xml:space="preserve">SaaS (GitLab.com), Self-Managed, Dedicated</t>
  </si>
  <si>
    <t xml:space="preserve">Lockfile-based ecosystems (npm, Maven/Gradle, pip/Poetry, Go, NuGet, Composer, Cargo, Conan, etc.), container images via Container Scanning; no firmware or ML models</t>
  </si>
  <si>
    <t xml:space="preserve">- Pipelines emit CycloneDX JSON SBOM job artifacts (gl-sbom-*.cdx.json); SBOM-based dependency scanning GA (Gemnasium analyzer deprecated 17.9, removal 20.0)
- Dependency list and group-level export
- Vulnerability matching against GitLab advisory and malware advisory DBs, continuous rescan; malicious package detection in dependency scanning (Beta, Ultimate, 19.4: npm, PyPI, Maven, Go, NuGet, Cargo, RubyGems, enforceable via MR approval policies)
- VEX: limited (vulnerability status dismissals; formal VEX export unverified)
- Regulatory: CycloneDX output meets format requirement; hashes/signatures not default
- SPDX license expressions (compound, e.g. MIT OR Apache-2.0) carried in dependency and license scanning and CycloneDX SBOM output (GA, Ultimate, 19.4)
- GitLab 19.5 (15 Oct 2026): Dependency Scanning profile customisation via GraphQL API (Ultimate; UI planned later), vulnerability tracking on non-default branches (GA, Ultimate), merge request security report comparison up to 1,000 findings per severity; no SBOM or CycloneDX format changes in 19.5</t>
  </si>
  <si>
    <t xml:space="preserve">Native CI; export to Dependency-Track via CI job; Jira</t>
  </si>
  <si>
    <t xml:space="preserve">GitLab Ultimate customers across public sector and enterprise</t>
  </si>
  <si>
    <t xml:space="preserve">GitLab listed on Gartner SSCS Peer Insights market; MQ position unverified</t>
  </si>
  <si>
    <t xml:space="preserve">- Ultimate tier required
- CycloneDX version emitted not clearly documented; SPDX not produced natively
- No SBOM ingestion of third-party SBOMs, no quality scoring
- VEX export immature
- No AI BOM</t>
  </si>
  <si>
    <t xml:space="preserve">Per user subscription (Ultimate)</t>
  </si>
  <si>
    <t xml:space="preserve">Ultimate list ~$99/user/month (verify current list)</t>
  </si>
  <si>
    <t xml:space="preserve">GitLab Ultimate shops wanting pipeline-native CycloneDX SBOMs feeding an external manager</t>
  </si>
  <si>
    <t xml:space="preserve">2026-10-15: [Release] GitLab 19.5 makes the GitLab MCP server generally available on all tiers for any MCP-compatible agent (toolset selection, artifact file tool, Duo agent tools, rate limits of 60 or 600 requests per minute on GitLab.com), adds Externally Connected Agents to AI Governance (Beta) covering Claude Code, Cursor and Codex, ships vulnerability tracking on non-default branches (GA, Ultimate) and Dependency Scanning profile customisation through the GraphQL API (Ultimate). No SBOM, CycloneDX or VEX changes are listed.
2026-09-17: [Release] GitLab 19.4 adds malicious package detection to dependency scanning (Beta, Ultimate) using GitLab malware advisories across seven ecosystems, SPDX license expressions in dependency and license scanning (GA), and vulnerability tools on the GitLab MCP server plus automated triage and remediation profiles (GA, Ultimate).</t>
  </si>
  <si>
    <t xml:space="preserve">https://docs.gitlab.com/user/application_security/dependency_scanning/|https://docs.gitlab.com/user/application_security/dependency_scanning/dependency_scanning_sbom/</t>
  </si>
  <si>
    <t xml:space="preserve">CLI tools (OSS); Interlynk SBOM Automation Platform SaaS/on-prem</t>
  </si>
  <si>
    <t xml:space="preserve">Format-level tooling for SPDX and CycloneDX (JSON); platform ingests from any generator; lynkctl (commercial) post-build SBOM generation for embedded C/C++ built with GNU Make, CMake, IAR Embedded Workbench or TI Code Composer Studio (gcc, clang, LLVM, GNU ld, IAR toolchains; Eclipse CDT, Keil, vcpkg, Conan in development); no native generation of ML-BOM</t>
  </si>
  <si>
    <t xml:space="preserve">- sbomqs: 0-10 quality score across identification, provenance, integrity, completeness, licensing, vulnerability, structural, component; compliance profiles NTIA, BSI TR-03183-2 (1.1/2.0/2.1), OpenChain Telco, FSCT v3; v2.1.x (Sep 2026) NTIA option selects the 2026 profile
- sbomasm: assemble, edit, enrich (ClearlyDefined), remove, sign/verify
- sbomgr: search across SBOMs
- lynkctl embedded C/C++ generator: CycloneDX 1.6+ and SPDX 3.0+ with per-component evidence (source files, compile lines, include paths, confidence tiers), deterministic output, air-gapped operation, positioned for FDA 524B, EU CRA, ISO/SAE 21434 (promoted Sep 2026)
- Platform: SBOM lifecycle, VEX, sharing, compliance mapping to CRA/BSI/CISA (per vendor claims)
- Apache-2.0 for OSS tools</t>
  </si>
  <si>
    <t xml:space="preserve">GitHub Actions, CI, Dependency-Track, Interlynk platform</t>
  </si>
  <si>
    <t xml:space="preserve">Not publicly disclosed; sbomqs widely used in SBOM quality benchmarking</t>
  </si>
  <si>
    <t xml:space="preserve">- Quality scoring is heuristic and standard-dependent
- Platform vendor is small
- CISA 2026 profile support timing unverified
- Generation limited to the commercial embedded C/C++ lynkctl tool; no OSS generator
- Limited enterprise references</t>
  </si>
  <si>
    <t xml:space="preserve">OSS free; platform subscription</t>
  </si>
  <si>
    <t xml:space="preserve">Best OSS quality-scoring and assembly toolkit for SBOM intake gates</t>
  </si>
  <si>
    <t xml:space="preserve">2026-09-19: [Feature launch] Interlynk is promoting a new commercial lynkctl embedded C/C++ SBOM generator (banner 'NEW Generate Embedded SBOM for C/C++' on its 19 Sep 2026 firmware-evaluation post): post-build analysis of GNU Make, CMake, IAR and TI Code Composer Studio outputs producing CycloneDX 1.6+ and SPDX 3.0+ with per-component evidence, confidence tiers and offline operation; exact launch date and pricing not stated.</t>
  </si>
  <si>
    <t xml:space="preserve">- https://github.com/interlynk-io/sbomqs
- https://github.com/interlynk-io/sbomasm
- https://www.interlynk.io/resources/all-about-spdx-3-0</t>
  </si>
  <si>
    <t xml:space="preserve">SaaS; GUAC self-hosted; Waybill CLI (Linux eBPF tracing optional)</t>
  </si>
  <si>
    <t xml:space="preserve">Source-built dependency graphs across major ecosystems, containers; SBOMs and attestations in SPDX, CycloneDX, in-toto; Waybill (OSS, alpha): deb, apk, rpm, Cargo, RubyGems, Go, Maven, npm, pip, Poetry, Pants, vcpkg, Conan readers plus ELF/Mach-O/PE binary scanner</t>
  </si>
  <si>
    <t xml:space="preserve">- Produces SBOMs and attestations independently verifiable by third parties
- Waybill OSS toolkit (Sep 2026, alpha): generate/analyse/enrich SBOMs from source trees, package caches and container images; CycloneDX 1.6, SPDX 2.3 and SPDX 3.0.1 with SHA-256 hashes and discovery evidence; DSSE/Sigstore attestations, in-toto layout verification, eBPF build-time tracing, JSON Patch enrichment; targets CISA 2026 minimum elements including explicit unknowns
- GUAC graph for supply chain metadata (SBOM, SLSA, VEX, OpenVEX ingestion)
- Reachability and Blast Radius impact analysis
- Kusari Inspector: PR-level autonomous review (CVEs, secrets, typosquats, licences, EOL)
- AutoFix PR generation
- Regulatory: supports SSDF/SLSA evidence; explicit CRA mapping unverified</t>
  </si>
  <si>
    <t xml:space="preserve">GitHub App, GitLab, Dependency-Track, Chainloop, GUAC ingestion of Syft/Trivy output</t>
  </si>
  <si>
    <t xml:space="preserve">- Small vendor; enterprise features maturing
- No AI/ML BOM
- GUAC requires operational effort
- Regulatory reporting limited
- Pricing not published for enterprise</t>
  </si>
  <si>
    <t xml:space="preserve">Free tier for Inspector on OSS/small teams; enterprise quote</t>
  </si>
  <si>
    <t xml:space="preserve">Teams that want graph-based supply chain analysis and attestation verification on top of OSS GUAC</t>
  </si>
  <si>
    <t xml:space="preserve">2026-09-18: [Release] Kusari's Apache-2.0 open-source Waybill SBOM toolkit (github.com/kusari-oss/waybill; alpha, first public releases early Sep 2026) shipped v0.8.0 (17 Sep), v0.9.0 (18 Sep, per-resolve SBOMs for Pants monorepos, SLSA build provenance on all artifacts) and v0.10.0-alpha.1 (23 Sep); it emits CycloneDX 1.6, SPDX 2.3 and SPDX 3.0.1 with SHA-256 hashes and evidence across 15 ecosystem readers plus ELF/Mach-O/PE binaries, DSSE/Sigstore attestations, in-toto verification and eBPF build tracing, and targets the CISA 2026 minimum elements.</t>
  </si>
  <si>
    <t xml:space="preserve">https://www.kusari.dev/|https://github.com/guacsec/guac</t>
  </si>
  <si>
    <t xml:space="preserve">CLI (Windows/Linux/macOS), GitHub Action, Azure DevOps task</t>
  </si>
  <si>
    <t xml:space="preserve">Source and build output directories via Component Detection (npm, NuGet, Maven, pip, Go, Rust, Ruby, CocoaPods, Linux packages in containers); no firmware or ML models</t>
  </si>
  <si>
    <t xml:space="preserve">- SPDX 2.2 default and SPDX 3.0 output (-mi SPDX:3.0)
- Licence enrichment via ClearlyDefined
- Validation of generated SBOM against directory (sbom-tool validate)
- Redaction feature (SPDX 2.2 only)
- No CycloneDX, no VEX
- Regulatory: built for Microsoft's EO 14028 compliance; produces CISA-style metadata fields</t>
  </si>
  <si>
    <t xml:space="preserve">GitHub, Azure DevOps, GitHub SBOM export docs reference it</t>
  </si>
  <si>
    <t xml:space="preserve">Used internally across Microsoft product releases</t>
  </si>
  <si>
    <t xml:space="preserve">- SPDX only; no CycloneDX
- Does not accept external contributions (fork model)
- No VEX, no management
- Detection depth depends on Component Detection library coverage
- Redaction not available for SPDX 3.0</t>
  </si>
  <si>
    <t xml:space="preserve">Free (MIT)</t>
  </si>
  <si>
    <t xml:space="preserve">Microsoft-stack shops needing an SPDX generator with SPDX 3.0 output in Azure DevOps</t>
  </si>
  <si>
    <t xml:space="preserve">https://github.com/microsoft/sbom-tool|https://docs.github.com/en/code-security/supply-chain-security/understanding-your-software-supply-chain/exporting-a-software-bill-of-materials-for-your-repository</t>
  </si>
  <si>
    <t xml:space="preserve">https://owasp-genai-aibom.org</t>
  </si>
  <si>
    <t xml:space="preserve">Hosted web app, CLI, API; self-hostable</t>
  </si>
  <si>
    <t xml:space="preserve">Hugging Face model repositories (model cards, config, licence); no source-code or dataset scanning beyond model metadata</t>
  </si>
  <si>
    <t xml:space="preserve">- Generates CycloneDX 1.6 JSON AIBOM from Hugging Face model metadata
- Completeness scoring with improvement recommendations
- Compatible with SPDX AI profile mapping
- Listed in CycloneDX Tool Center
- Moved under OWASP GenAI Security Project in 2025-2026</t>
  </si>
  <si>
    <t xml:space="preserve">CLI/API for CI; CycloneDX consumers</t>
  </si>
  <si>
    <t xml:space="preserve">Community use; not disclosed</t>
  </si>
  <si>
    <t xml:space="preserve">- Hugging Face only; no agents, MCP, prompts or datasets in code
- Small project (about 100 stars)
- No management layer
- Depends on model card quality</t>
  </si>
  <si>
    <t xml:space="preserve">Producing standards-aligned AIBOMs for third-party models during intake reviews</t>
  </si>
  <si>
    <t xml:space="preserve">- https://github.com/aetheris-ai/aibom-generator
- https://genai.owasp.org/initiatives/
- https://cyclonedx.org/tool-center/</t>
  </si>
  <si>
    <t xml:space="preserve">https://cyclonedx.org/tool-center/</t>
  </si>
  <si>
    <t xml:space="preserve">CLI / library / container / self-hosted server mode (cdxgen REST)</t>
  </si>
  <si>
    <t xml:space="preserve">cdxgen: npm/yarn/pnpm, Maven/Gradle/SBT, pip/poetry/uv, Go, Rust/Cargo, PHP, Ruby, .NET, C/C++ (via atom; v13.3.0 also resolves from CMake caches and compilation databases), Kotlin (native evidence via kosi, v13.2.0), Swift, Dart, Elm, Svelte/SvelteKit and more; containers/OCI images (Windows containers via WSL from v13.3.0), rootfs, Docker archives, binaries, OS (OBOM), hardware hosts (HBOM), SaaS (SaaSBOM), cryptographic assets (CBOM); AI-BOM: prompt files, ML models (Hugging Face URLs, GGUF, safetensors, ONNX, PyTorch pickle checkpoints flagged for unsafe deserialization), MCP client configs (Cursor, Windsurf, Zed, Codex and others), MCP Registry server.json manifests, MCPB/DXT bundles, agent frameworks and inference providers, local runtimes (Ollama, LM Studio); 'agentic' project type inventories installed coding assistants</t>
  </si>
  <si>
    <t xml:space="preserve">- CycloneDX JSON/XML/protobuf 1.0-1.7 (cdxgen targets 1.6/1.7 and downgrades to 1.4/1.5; cdx-convert to SPDX 3.0.1 JSON-LD)
- CycloneDX CLI: convert, merge, diff, validate, analyze, sign/verify, SPDX 2.3 JSON conversion
- Evidence/usage detection via AST (required/optional scopes), BOM auditing rules
- JSF signing with component-level signatures; runtime tracing via tracebom
- Native VEX/VDR object model in spec; no VEX authoring UI
- Regulatory: spec is ECMA-424 2nd ed. (Dec 2025); CISA 2026 minimum elements name CycloneDX as an accepted format; libraries for Java, .NET, Python, Go, JS, PHP, Ruby, Rust, Perl</t>
  </si>
  <si>
    <t xml:space="preserve">GitHub Action, GitLab CI, Jenkins, Azure DevOps, Docker; Dependency-Track upload; OWASP dep-scan; VS Code; any CycloneDX consumer</t>
  </si>
  <si>
    <t xml:space="preserve">Embedded in commercial tools and public-sector pipelines; over 250 tools listed in CycloneDX Tool Center; specific customer names not publicly disclosed</t>
  </si>
  <si>
    <t xml:space="preserve">not rated (standard/OSS; CycloneDX referenced across Gartner SSCS MQ vendor coverage)</t>
  </si>
  <si>
    <t xml:space="preserve">- No management/persistence layer; needs Dependency-Track or a commercial platform for lifecycle tracking
- Accuracy varies by ecosystem and depends on lockfiles or build access; deep C/C++ and binary analysis needs atom and extra setup
- AI-BOM detection is heuristic (config and framework pattern based); no malware scanning of model files
- Community support only; no SLA
- CycloneDX CLI lags spec for some conversions (CSV/SPDX have no version selection)</t>
  </si>
  <si>
    <t xml:space="preserve">Free (Apache-2.0)</t>
  </si>
  <si>
    <t xml:space="preserve">$0 licence; engineering effort only</t>
  </si>
  <si>
    <t xml:space="preserve">Teams standardising on CycloneDX who want the widest ecosystem and AI-BOM coverage in an OSS generator, feeding Dependency-Track or a commercial manager</t>
  </si>
  <si>
    <t xml:space="preserve">2026-10-02: [Release] cdxgen v13.3.0 resolves C/C++ dependencies from CMake caches and compilation databases in the build tree, adds Windows container scanning through WSL, restores Swift evidence collection, shrinks and speeds up the standalone binaries, improves Ruby, JavaScript workspace and .NET accuracy, and closes six command-execution and injection vectors (per release notes).
2026-09-22: [Release] cdxgen v13.2.0 adds native Kotlin evidence via the kosi companion binary, expands AI-BOM coverage (GGUF, safetensors, ONNX and PyTorch pickle checkpoints flagged cdx:ai:unsafeDeserialization, Ollama/LM Studio runtimes), reads MCP client configs for Cursor/Windsurf/Zed/Codex plus MCP Registry server.json and MCPB/DXT bundles, and introduces an 'agentic' project type that inventories installed coding assistants; also first-class Elm and Svelte support and corrected post-quantum crypto OIDs.</t>
  </si>
  <si>
    <t xml:space="preserve">- https://cyclonedx.org/news/cyclonedx-v1.7-released/
- https://github.com/CycloneDX/cdxgen
- https://github.com/CycloneDX/cyclonedx-cli
- https://ecma-international.org/publications-and-standards/standards/ecma-424/
- https://cyclonedx.org/tool-center/</t>
  </si>
  <si>
    <t xml:space="preserve">Self-hosted (Docker/Kubernetes); v5.x microservice architecture (Kafka-based) and v4.14.x monolith maintenance line</t>
  </si>
  <si>
    <t xml:space="preserve">Any ecosystem represented in an ingested CycloneDX SBOM (source, containers, services); ML-BOM components ingested as CycloneDX component types; no native generation</t>
  </si>
  <si>
    <t xml:space="preserve">- Ingests CycloneDX SBOM/VEX/VDR (v4.14.4 and 5.x accept CycloneDX 1.7); SPDX not ingested natively (convert first)
- Continuous vulnerability analysis: NVD, OSV, GitHub Advisories, Sonatype OSS Index, Snyk, Trivy, Checkmarx SCA (5.x), JVN (5.x); CISA KEV (5.1), EPSS, CVSSv4
- VEX import/export (CycloneDX VEX), policy engine (licence, security, operational), audit workflow
- v4.14.0 (Mar 2026): ecosystem-aware and distro-aware version matching
- Notifications: Slack, Teams, Jira, DefectDojo, webhooks; OIDC, RBAC, REST API
- Regulatory: supports NTIA/CISA element tracking via BOM metadata; no built-in CRA/PCI report mapping</t>
  </si>
  <si>
    <t xml:space="preserve">cdxgen, Syft, Trivy, Snyk, Sonatype OSS Index, Chainloop, Kusari, Jenkins/GitLab/GitHub plugins, DefectDojo, Jira, Fortify SSC, Kenna</t>
  </si>
  <si>
    <t xml:space="preserve">Widely deployed in financial services, telecom, public sector and product companies; named references not publicly disclosed</t>
  </si>
  <si>
    <t xml:space="preserve">- No SBOM generation; no native SPDX ingestion
- v5 (Kafka-based) has higher operational footprint; v4 to v5 migration effort
- No SBOM quality scoring or supplier-portal features out of the box
- Limited regulatory reporting (CRA, PCI DSS 6.3.2) without custom work
- No commercial support unless via third parties</t>
  </si>
  <si>
    <t xml:space="preserve">$0 licence; hosting and one to two FTE-equivalents for platform operations at enterprise scale</t>
  </si>
  <si>
    <t xml:space="preserve">Best OSS SBOM management platform for organisations willing to self-host and pair with cdxgen/Syft</t>
  </si>
  <si>
    <t xml:space="preserve">2026-09-20: [Release] Dependency-Track 5.1.1 backport release refactors component metrics computation to avoid bad query plans and fixes 21 bugs including versionless PURLs not being analysed, CVSSv4 score calculation, NVD mirroring, GitHub Advisories proxy auth and v4-to-v5 migration deduplication.
2026-09-14: [Release] Dependency-Track v4.14.4 (maintenance line) adds ingestion of CycloneDX 1.7 BOMs, switches BOM export to modern CycloneDX tools metadata, trims unnecessary enrichment on single-project queries, and fixes Jira notification tests, missing User-Agent headers and an HTTP 500 when deleting vulnerabilities referenced by analyses.</t>
  </si>
  <si>
    <t xml:space="preserve">- https://github.com/DependencyTrack/dependency-track/releases/latest
- https://docs.dependencytrack.org/changelog/
- https://owasp.org/www-project-dependency-track/
- https://dependencytrack.org/</t>
  </si>
  <si>
    <t xml:space="preserve">CLI / Go library</t>
  </si>
  <si>
    <t xml:space="preserve">SPDX, CycloneDX, Syft JSON documents</t>
  </si>
  <si>
    <t xml:space="preserve">- Scores spec compliance (25%), generation metadata (15%), package info: IDs, versions, licences (60%)
- Apache-2.0
- Last release v0.0.7 (Apr 2023); marked WIP</t>
  </si>
  <si>
    <t xml:space="preserve">CI scripts</t>
  </si>
  <si>
    <t xml:space="preserve">- Effectively unmaintained since 2023
- No CycloneDX 1.6/1.7 or SPDX 3 awareness
- Coarse scoring vs sbomqs
- No compliance profiles</t>
  </si>
  <si>
    <t xml:space="preserve">Historical reference only; prefer sbomqs</t>
  </si>
  <si>
    <t xml:space="preserve">https://github.com/eBay/sbom-scorecard|https://github.com/interlynk-io/sbomqs</t>
  </si>
  <si>
    <t xml:space="preserve">https://spdx.dev/use/tools/</t>
  </si>
  <si>
    <t xml:space="preserve">Libraries, CLI, hosted Online Tools (tools.spdx.org)</t>
  </si>
  <si>
    <t xml:space="preserve">Format libraries are ecosystem-agnostic; spdx-sbom-generator (archived Jan 2025) covered Go, Cargo, Composer, .NET, Maven, npm/yarn, pip/pipenv, gems, Swift</t>
  </si>
  <si>
    <t xml:space="preserve">- tools-python: parse/validate/convert SPDX 2.2/2.3 (tag-value, RDF, JSON, YAML, XML); SPDX 3.0 write-only experimental
- tools-java and Online Tools: validation, conversion, comparison
- SPDX 3.0.1 spec includes AI, Dataset, Security (VEX-like), Build, Licensing profiles
- ISO/IEC 5962 update for SPDX 3.0 at DIS stage (voting closed Jun 2026)
- spdx-sbom-generator deprecated; SPDX community recommends Syft/Trivy for generation</t>
  </si>
  <si>
    <t xml:space="preserve">Consumed by FOSSA, Black Duck, GitHub, Microsoft sbom-tool, cdxgen (cdx-convert to SPDX 3.0.1)</t>
  </si>
  <si>
    <t xml:space="preserve">Linux Foundation members; SPDX 2.x is ISO/IEC 5962:2021</t>
  </si>
  <si>
    <t xml:space="preserve">- No maintained first-party SBOM generator after spdx-sbom-generator archive
- SPDX 3.0 read support absent in tools-python; ecosystem adoption of 3.x still low in 2026
- No management platform
- AI/Dataset profiles lack generator tooling and vendor adoption
- Online Tools limited to small files</t>
  </si>
  <si>
    <t xml:space="preserve">Organisations mandated to exchange SPDX (ISO/IEC 5962) and needing validation/conversion libraries</t>
  </si>
  <si>
    <t xml:space="preserve">- https://github.com/spdx/tools-python
- https://github.com/opensbom-generator/spdx-sbom-generator
- https://spdx.github.io/spdx-spec/v3.0.1/
- https://www.iso.org/standard/93810.html</t>
  </si>
  <si>
    <t xml:space="preserve">https://github.com/anchore/syft</t>
  </si>
  <si>
    <t xml:space="preserve">CLI / Go library / container / GitHub Action</t>
  </si>
  <si>
    <t xml:space="preserve">Container images (OCI/Docker), filesystems, archives; OS packages (apk, deb, rpm, etc.) and language ecosystems (Java, JS, Python, Go, Rust, Ruby, PHP, .NET, Swift, Dart, Erlang, Haskell, Perl/CPAN from v1.54.0, etc.); Go and other binaries; GGUF/AI model artefacts added in 2026 (Anchore Enterprise 6.2 notes); no firmware unpacking</t>
  </si>
  <si>
    <t xml:space="preserve">- Output CycloneDX (JSON/XML), SPDX 2.x (JSON/tag-value), Syft JSON; v1.54.0 (1 Oct 2026) Perl/CPAN cataloger and non-daemon Podman analysis
- Grype: vulnerability matching from SBOM or image, OpenVEX support (--vex), EPSS/KEV data; v0.120.0 (2 Oct 2026) NVD SSVC decision points in the v6 database, SLES comprehensive distro matching, Sigstore-signed release checksums
- cosign attestation of SBOMs (syft attest)
- Cataloger configuration, licence detection, file metadata
- No SBOM quality scoring; no management layer
- Regulatory: mainstream generator used to meet EO 14028 and CISA 2026 element expectations (hash, licence, tool metadata)</t>
  </si>
  <si>
    <t xml:space="preserve">GitHub Actions (anchore/sbom-action, scan-action), GitLab, Jenkins, Harbor, Dependency-Track, cosign/Sigstore, Kubernetes admission via Anchore</t>
  </si>
  <si>
    <t xml:space="preserve">Default SBOM engine in many platforms (e.g. GitHub docs reference it, Docker Scout lineage); Anchore cites US Air Force, NVIDIA, Cisco, eBay for its enterprise product</t>
  </si>
  <si>
    <t xml:space="preserve">not rated (Anchore not confirmed in 2026 SSCS MQ)</t>
  </si>
  <si>
    <t xml:space="preserve">- Container/OS-centric; source-level dependency resolution is weaker than build-integrated generators for Java/Gradle or Python without lockfiles
- No SPDX 3.0 output as of Sep 2026 (unverified whether on roadmap)
- No management, sharing or quality-scoring layer
- Grype VEX limited to OpenVEX; no CSAF ingestion
- Firmware and ML-BOM depth minimal</t>
  </si>
  <si>
    <t xml:space="preserve">Container-heavy pipelines needing a fast, scriptable SBOM and vulnerability pair with attestation support</t>
  </si>
  <si>
    <t xml:space="preserve">2026-10-02: [Release] Grype v0.120.0 stores NVD SSVC decision points in a new v6 database decorator table, marks SLES as a comprehensive distro, adds a Locations column to the HTML report template, and signs release checksums with a Sigstore bundle.
2026-10-01: [Release] Syft v1.54.0 adds a Perl ecosystem package cataloger (CPAN packages, with the Perl interpreter reported as a CPAN package) and analysis with non-daemon Podman, plus 21 bug fixes including GGUF and safetensors file handling, SPDX licence URL matching and several cataloger panics.
2026-09-17: [Release] Syft v1.52.0 adds passthrough of matching syft-json input unchanged (exact-format passthrough), bounds allocations for compressed kernel modules, .deb archives and UPX-packed binaries, hardens malformed .NET binary parsing, fixes RPM and Java archive version reporting, and remediates six dependency CVEs (gRPC, containerd, x/crypto).
2026-09-17: [Release] Grype v0.119.0 exposes distro-fixed dropped matches through ignoredMatches so --show-suppressed surfaces them, adds a licensing copyright-owner field for Debian packaging, fixes OpenVEX transformer namespace handling for Go module PURLs and inconsistent advisory merging under --by-cve, and remediates six dependency CVEs.</t>
  </si>
  <si>
    <t xml:space="preserve">- https://github.com/anchore/syft/releases
- https://github.com/anchore/grype
- https://anchore.com/blog/
- https://docs.github.com/en/code-security/supply-chain-security/understanding-your-software-supply-chain/exporting-a-software-bill-of-materials-for-your-repository</t>
  </si>
  <si>
    <t xml:space="preserve">https://trivy.dev/latest/docs/supply-chain/sbom/</t>
  </si>
  <si>
    <t xml:space="preserve">CLI / container / Kubernetes operator / GitHub Action; Aqua SaaS or self-hosted for commercial</t>
  </si>
  <si>
    <t xml:space="preserve">Container images, filesystems, git repos, VM images, Kubernetes clusters, existing SBOMs as targets; OS packages and language ecosystems (Python, Node, Go, Java, Ruby, PHP, .NET, Rust, etc.); no firmware, no ML model cataloguing</t>
  </si>
  <si>
    <t xml:space="preserve">- Generates CycloneDX JSON (docs list 1.3-1.5; 1.6 output unverified) and SPDX 2.2.2+ JSON/tag-value; scans SBOMs as input
- VEX: local files, VEX Repository (aquasecurity/vexhub), OCI VEX attestations, sbom-ref; OpenVEX, CycloneDX VEX and CSAF VEX advisories supported (v0.76.0 fixes a panic on CSAF advisories without a CVE)
- cosign SBOM attestation
- Misconfig, secrets and licence scanning in one binary
- v0.76.0 (14 Oct 2026): experimental CBOM security levels (classicalSecurityLevel and nistQuantumSecurityLevel in CycloneDX output), Echo-patched Maven and npm package detection, RapidFort Debian/Oracle/Rocky/Alma/Amazon base images
- Regulatory: covers EO 14028 generation needs; no built-in compliance mapping</t>
  </si>
  <si>
    <t xml:space="preserve">GitHub Actions, GitLab, Harbor, Dependency-Track (via CycloneDX), Kubernetes operator, Aqua Platform, DefectDojo</t>
  </si>
  <si>
    <t xml:space="preserve">Broad OSS adoption; commercial references via Aqua not disclosed here</t>
  </si>
  <si>
    <t xml:space="preserve">not rated (Aqua not confirmed in 2026 SSCS MQ)</t>
  </si>
  <si>
    <t xml:space="preserve">- No SBOM management or storage
- Lags CycloneDX spec (no XML output; 1.6/1.7 output unverified)
- No SPDX 3.0
- No AI/ML BOM features
- Dependency resolution relies on lockfiles for many ecosystems</t>
  </si>
  <si>
    <t xml:space="preserve">Free (Apache-2.0); Aqua Platform subscription</t>
  </si>
  <si>
    <t xml:space="preserve">$0 for Trivy; Aqua not publicly disclosed</t>
  </si>
  <si>
    <t xml:space="preserve">High (OSS) / None (Aqua)</t>
  </si>
  <si>
    <t xml:space="preserve">Teams already using Trivy for image scanning who want SBOM plus VEX filtering in CI with minimal tooling</t>
  </si>
  <si>
    <t xml:space="preserve">2026-10-14: [Release] Trivy v0.76.0 adds experimental CBOM security levels, reporting a classical security level and a NIST post-quantum category per cryptographic algorithm in CycloneDX output (DSA bom-ref values change), detects vulnerabilities in Echo-patched Maven and npm packages (+echo.N versions) via Echo's OSV feed, extends RapidFort image scanning to Debian, Oracle Linux, Rocky, AlmaLinux and Amazon Linux bases, and fixes a panic on CSAF VEX advisories without a CVE.</t>
  </si>
  <si>
    <t xml:space="preserve">- https://trivy.dev/latest/docs/supply-chain/sbom/
- https://trivy.dev/latest/docs/supply-chain/vex/
- https://github.com/aquasecurity/trivy/releases</t>
  </si>
  <si>
    <t xml:space="preserve">Threat Modeling: tool landscape</t>
  </si>
  <si>
    <t xml:space="preserve">37 tools. Research cut-off 2026-10-19. Vendor-claimed items are labelled; unverified items say so. See OWASP Projects and Market Notes sheets for this category.</t>
  </si>
  <si>
    <t xml:space="preserve">https://github.com/awslabs/threat-modeling-mcp-server</t>
  </si>
  <si>
    <t xml:space="preserve">SaaS (Bedrock inference) / self-hosted MCP servers</t>
  </si>
  <si>
    <t xml:space="preserve">Source code, natural language, CDK/CloudFormation context via Amazon Q Developer or any MCP client</t>
  </si>
  <si>
    <t xml:space="preserve">- awslabs threat-modeling-mcp-server: 9-phase guided STRIDE workflow, 11 tools, code-validation evidence, export
- Threat Composer CLI/MCP: multi-agent starter threat model from codebase on Bedrock (Strands agents)
- Runs in Amazon Q Developer CLI, Claude Code, Cursor</t>
  </si>
  <si>
    <t xml:space="preserve">Amazon Q Developer, MCP clients, VS Code, GitHub/GitLab/Bitbucket</t>
  </si>
  <si>
    <t xml:space="preserve">AWS customers; community</t>
  </si>
  <si>
    <t xml:space="preserve">- No enterprise system of record
- AWS-account dependency
- Community support only
- Output quality model-dependent</t>
  </si>
  <si>
    <t xml:space="preserve">Free tooling; Bedrock per token; Amazon Q Developer per user</t>
  </si>
  <si>
    <t xml:space="preserve">Amazon Q Developer Pro ~$19/user/month plus Bedrock tokens</t>
  </si>
  <si>
    <t xml:space="preserve">AWS-native teams embedding threat modeling into agentic developer workflows</t>
  </si>
  <si>
    <t xml:space="preserve">- https://github.com/awslabs/threat-modeling-mcp-server
- https://github.com/awslabs/threat-composer
- https://cafeai.home.blog/2026/05/27/threat-modeling-mcp-server/</t>
  </si>
  <si>
    <t xml:space="preserve">SaaS / Dedicated SaaS / Self-hosted / Private cloud / Air-gap ('Sovereign AI')</t>
  </si>
  <si>
    <t xml:space="preserve">Code repositories, APIs and runtime traffic; builds an Application Context Graph (code, services, APIs, identities, workflows, runtime paths)</t>
  </si>
  <si>
    <t xml:space="preserve">- AI SAST, semantic runtime validation and autonomous pen testing
- Application Context Graph as implicit threat model
- Red/blue/purple AI agents
- Autonomous offensive testing (Apr 2026)
- SOC 2 Type II</t>
  </si>
  <si>
    <t xml:space="preserve">CI/CD, SCM, IDE (per docs), ticketing; details at docs.aptori.dev</t>
  </si>
  <si>
    <t xml:space="preserve">Claims 9,000+ enterprise users; named customers not disclosed</t>
  </si>
  <si>
    <t xml:space="preserve">not rated in threat modeling; 3x Global InfoSec Awards (vendor claim)</t>
  </si>
  <si>
    <t xml:space="preserve">- Not a threat modeling tool in the design-phase sense; no diagrams, methodologies or design-review workflow
- Pricing unclear ($4,999 figure from a secondary blog, unverified)
- Overlaps with existing SAST/DAST estate
- LLM undisclosed</t>
  </si>
  <si>
    <t xml:space="preserve">Subscription; quote</t>
  </si>
  <si>
    <t xml:space="preserve">Unverified third-party mention of $4,999 entry price for autonomous testing</t>
  </si>
  <si>
    <t xml:space="preserve">Teams wanting runtime-validated, exploitability-driven security rather than design-phase threat models</t>
  </si>
  <si>
    <t xml:space="preserve">- https://www.aptori.com/
- https://www.helpnetsecurity.com/2026/04/27/aptori-autonomous-offensive-testing-capabilities/
- https://www.aptori.com/blog/what-is-api-threat-modeling</t>
  </si>
  <si>
    <t xml:space="preserve">SaaS (Azure Marketplace listing, GitHub App)</t>
  </si>
  <si>
    <t xml:space="preserve">Architecture diagrams, IaC and CI/CD pipelines (GitHub App), cloud posture (CSPM/ASPM modules)</t>
  </si>
  <si>
    <t xml:space="preserve">- STRIDE, PASTA, LINDDUN and MAESTRO generation
- Attack path analysis and CVSS scoring
- Mapping to 340+ compliance frameworks (SOC 2, ISO 27001, HIPAA, NIST, PCI DSS)
- Code-level remediation guidance
- Generative AI threat model templates for Azure and AWS</t>
  </si>
  <si>
    <t xml:space="preserve">GitHub (Marketplace app), Azure Marketplace, CI/CD, remote MCP server (Claude Code, ChatGPT, Gemini, any MCP client; OAuth 2.1); Jira not confirmed</t>
  </si>
  <si>
    <t xml:space="preserve">Listed on Gartner Peer Insights (0 reviews)</t>
  </si>
  <si>
    <t xml:space="preserve">- Little third-party validation
- Bundled with CSPM/ASPM, unclear standalone maturity
- LLM, data handling and deployment not documented
- Small vendor; MCP server is hosted under the Ayurak brand (ayurak.com) with pricing on that site, so confirm the contracting entity
- MCP manifest repo has 0 stars and no release date; MCP usage is metered
- Pricing opaque</t>
  </si>
  <si>
    <t xml:space="preserve">Subscription via marketplaces; quote</t>
  </si>
  <si>
    <t xml:space="preserve">Azure-heavy shops wanting compliance-mapped automated models with CSPM in one console; evaluate carefully</t>
  </si>
  <si>
    <t xml:space="preserve">- https://www.aristiun.com/automated-threat-modeling-using-ai
- https://github.com/marketplace/aristiun-aribot
- https://github.com/aristiun/aribot-mcp
- https://mcpservers.org/tr/servers/aristiun/aribot-mcp
- https://www.gartner.com/reviews/market/threat-modeling-automation</t>
  </si>
  <si>
    <t xml:space="preserve">Design specs, Jira tickets, code and pull requests, IDE context (VS Code, Cursor)</t>
  </si>
  <si>
    <t xml:space="preserve">- Continuous threat modeling generated in under 10 minutes from design artefacts and code
- Automated security reviews in GitHub/Jira/IDE (Design Reviewer for Jira tickets and Google Docs designs; Code Reviewer on PRs)
- Policy-as-code enforcement on every PR with merge blocking
- HealthTech GRC module (HIPAA/FDA)
- 'Security layer for agentic development' with secure prompting context for coding agents (AI Guardrails)
- IriusRisk XML import for migration (Sept 2026)</t>
  </si>
  <si>
    <t xml:space="preserve">GitHub (Marketplace app), VS Code, Cursor, Jira, Google Docs, Okta, MCP, IriusRisk XML import</t>
  </si>
  <si>
    <t xml:space="preserve">Not disclosed; backers include partners from Signal Sciences and Aviso Ventures (per site)</t>
  </si>
  <si>
    <t xml:space="preserve">- Startup with undisclosed funding and customers
- No published methodology or library depth
- SaaS-only
- Pricing 'usage-based', not public</t>
  </si>
  <si>
    <t xml:space="preserve">Usage and feature-based; quote</t>
  </si>
  <si>
    <t xml:space="preserve">Engineering orgs adopting AI coding agents that want design-time guardrails and PR enforcement</t>
  </si>
  <si>
    <t xml:space="preserve">2026-09-23: [Feature launch] DevArmor published an IriusRisk-to-DevArmor migration path: import IriusRisk data-model or bulk XML exports, then a 30-day rollout covering SSO, GitHub/Jira integration, Design Reviewer (Jira tickets and Google Docs designs), Code Reviewer and AI Guardrails.</t>
  </si>
  <si>
    <t xml:space="preserve">- https://www.devarmor.com/
- https://cybersectools.com/categories/threat-modeling</t>
  </si>
  <si>
    <t xml:space="preserve">SaaS (annual billing); no on-prem published</t>
  </si>
  <si>
    <t xml:space="preserve">Diagrams (collaborative canvas), natural language architecture descriptions, code repositories via Code Genius (JavaScript, TypeScript, Python, Java, C#, C, C++), agent prompts via MCP</t>
  </si>
  <si>
    <t xml:space="preserve">- 10+ methodologies incl. STRIDE, LINDDUN, MAESTRO
- Devici Codex curated threat and mitigation library keyed on component attributes
- Real-time collaborative diagramming
- Jira and Azure DevOps task push
- SD Elements export for requirements
- Flat enterprise pricing (no per-user/per-model fees)</t>
  </si>
  <si>
    <t xml:space="preserve">Jira, Azure DevOps, GitHub, Splunk, SD Elements (OTM export and /sync-devici-threat-model MCP workflow prompt), MCP (Cursor, Claude, Copilot; role-scoped API tokens), SSO/SAML, API</t>
  </si>
  <si>
    <t xml:space="preserve">Not publicly disclosed; positioned for developer teams in mid-market and enterprise</t>
  </si>
  <si>
    <t xml:space="preserve">Gartner Peer Insights listed (0 reviews); no MQ/Wave</t>
  </si>
  <si>
    <t xml:space="preserve">- SaaS only, no self-hosted option for air-gapped clients
- Code Genius language coverage excludes Go, Rust, Kotlin, Swift and IaC
- Positioning versus SD Elements still settling post-acquisition
- Small vendor footprint pre-acquisition (1-10 employees per Crunchbase)
- LLM and data-handling details not published</t>
  </si>
  <si>
    <t xml:space="preserve">Free (3 models, 3 users); Enterprise flat annual subscription</t>
  </si>
  <si>
    <t xml:space="preserve">Free tier $0; enterprise custom, marketed as not scaling with users or models</t>
  </si>
  <si>
    <t xml:space="preserve">Developer-led teams wanting fast collaborative diagram-based modelling with MAESTRO and AI drafts, without per-seat cost growth</t>
  </si>
  <si>
    <t xml:space="preserve">2026-09-16: [Release] Devici 2.30.0 adds User-role-scoped API tokens for MCP/API access, bulk attribute assignment, admin-issued personal tokens and a /sync-devici-threat-model workflow prompt that keeps threat models in sync with SD Elements via both platforms' MCP servers.</t>
  </si>
  <si>
    <t xml:space="preserve">- https://www.securitycompass.com/devici/ai-infusion/
- https://www.securitycompass.com/devici/pricing
- https://www.businesswire.com/news/home/20250603655492/en/Security-Compass-Acquires-Devici-to-Expand-Threat-Modeling-Capabilities
- https://www.crunchbase.com/organization/devici</t>
  </si>
  <si>
    <t xml:space="preserve">https://www.iriusrisk.com/</t>
  </si>
  <si>
    <t xml:space="preserve">SaaS / On-prem (self-hosted enterprise); Jeff AI is SaaS-first, on-prem via CSM arrangement</t>
  </si>
  <si>
    <t xml:space="preserve">Diagrams (draw.io-style canvas, image import PNG/JPEG/WEBP/HEIC), IaC (Terraform/CloudFormation import), code snippets, architecture docs, user stories, meeting transcripts, SBOMs, questionnaires, natural language prompts, Jira feature descriptions (Bex)</t>
  </si>
  <si>
    <t xml:space="preserve">- Rules-engine-driven threat and countermeasure generation from architecture
- Large security content library mapped to PCI DSS, NIST, GDPR, ISO and others
- Dedicated AI/ML application threat libraries ('first to threat model AI and ML applications')
- Jira and ticketing sync of countermeasures
- Community Edition free forever
- Smart Views for mitigation, compliance or critical-threat perspectives</t>
  </si>
  <si>
    <t xml:space="preserve">Jira, Azure DevOps, ServiceNow (via ticketing), GitHub/GitLab (IaC import, CI/CD API), REST API, Visio/draw.io/Lucid import, Bex for Jira</t>
  </si>
  <si>
    <t xml:space="preserve">Financial services (regulated bank on-prem case study), technology, public sector; vendor claims include large banks; specific logos on site rotate</t>
  </si>
  <si>
    <t xml:space="preserve">Gartner Peer Insights Threat Modeling Automation: 4.3/5 (4 reviews) listed under ThreatModeler (IriusRisk); Gartner has no Magic Quadrant for this market; no Forrester Wave</t>
  </si>
  <si>
    <t xml:space="preserve">- Acquired by ThreatModeler Jan 2026: roadmap and product-consolidation risk, reviewers flag uncertainty
- Jeff runs only on vendor-managed OpenAI; no Azure OpenAI or customer-hosted LLM, which blocks strict data-residency clients
- Rules-engine models need tuning; large libraries produce noisy countermeasure lists
- On-prem Jeff is bespoke, not productised
- Enterprise pricing historically per-user/per-project and opaque</t>
  </si>
  <si>
    <t xml:space="preserve">Free Community Edition; Enterprise quote (historically per user and per project tiers)</t>
  </si>
  <si>
    <t xml:space="preserve">Not publicly disclosed; enterprise deals commonly reported in the mid five to six figures per year (unverified)</t>
  </si>
  <si>
    <t xml:space="preserve">Regulated enterprises wanting library-driven, compliance-mapped threat models with an AI on-ramp; teams already on IriusRisk Community</t>
  </si>
  <si>
    <t xml:space="preserve">- https://www.iriusrisk.com/ai-threat-modeling
- https://www.iriusrisk.com/documentation/use-our-ai-assistant-jeff
- https://www.iriusrisk.com/threat-modeling-platform
- https://siliconangle.com/2026/01/08/threatmodeler-acquires-competing-threat-modeling-startup-iriusrisk/
- https://www.gartner.com/reviews/market/threat-modeling-automation</t>
  </si>
  <si>
    <t xml:space="preserve">https://github.com/mrwadams/stride-gpt/blob/master/docs/operationalization-guide.md</t>
  </si>
  <si>
    <t xml:space="preserve">SaaS (vendor LLM) / On-prem with self-hosted models (Ollama, LM Studio, Bedrock/Azure OpenAI private endpoints)</t>
  </si>
  <si>
    <t xml:space="preserve">Natural language, pasted architecture docs, diagram images (multimodal), code snippets or whole repos via agentic coding tools (Claude Code, Copilot agent mode, Cursor)</t>
  </si>
  <si>
    <t xml:space="preserve">- STRIDE/PASTA/LINDDUN on demand via prompt templates
- Attack trees in Mermaid
- Mapping to OWASP LLM Top 10, ATLAS on request
- Zero tooling cost
- Works inside IDE and CI through coding agents
- Reference implementations: STRIDE GPT, xvnpw AI Security Analyzer (1,000 models with Gemini)</t>
  </si>
  <si>
    <t xml:space="preserve">IDE (Copilot, Cursor, Claude Code), CI via scripts, MCP servers; no native Jira unless via agent tooling</t>
  </si>
  <si>
    <t xml:space="preserve">Widespread informal use; SecAppDev 2026 and SCW webinars cover the practice</t>
  </si>
  <si>
    <t xml:space="preserve">- Non-deterministic, hallucinated or generic threats; no rules engine
- No persistence, versioning or governance without wrapping tooling
- Data leakage risk when pasting architecture into public LLMs
- Prompt-injection risk when agents read untrusted repos/docs
- Consistency across teams is poor without templates</t>
  </si>
  <si>
    <t xml:space="preserve">Per token / per seat of the LLM subscription</t>
  </si>
  <si>
    <t xml:space="preserve">$0-40 per user per month for consumer/pro tiers; API costs cents to low dollars per model</t>
  </si>
  <si>
    <t xml:space="preserve">First-draft threat models, brainstorming and training; pair with a system of record</t>
  </si>
  <si>
    <t xml:space="preserve">- https://xvnpw.github.io/posts/scaling-threat-modeling-with-ai/
- https://secappdev.org/2026/sessions/threat-modeling-with-ai/
- https://www.techtarget.com/searchsecurity/tip/How-to-operationalize-threat-modeling-with-AI
- https://www.detectionatscale.com/p/threat-modeling-ai-agents-mcp</t>
  </si>
  <si>
    <t xml:space="preserve">https://cloudsecurityalliance.org/blog/2025/02/06/agentic-ai-threat-modeling-framework-maestro</t>
  </si>
  <si>
    <t xml:space="preserve">Web / card deck</t>
  </si>
  <si>
    <t xml:space="preserve">- MAESTRO: 7-layer agentic reference architecture (Foundation Models, Data Operations, Agent Frameworks, Deployment and Infrastructure, Evaluation and Observability, Security and Compliance, Agent Ecosystem)
- PLOT4ai: 86 threats in 8 categories with card-based elicitation
- STRIDE-AI: informal STRIDE-per-AI-component extensions</t>
  </si>
  <si>
    <t xml:space="preserve">- MAESTRO layer-by-layer and cross-layer threat modeling for agents (Feb 2025)
- Adopted natively by Devici, Aristiun and ThreatModeler
- PLOT4ai integrated as a category in Threat Dragon
- STRIDE-AI used in prompts and training</t>
  </si>
  <si>
    <t xml:space="preserve">Devici, ThreatModeler Nexus, Aribot (MAESTRO); Threat Dragon (PLOT4ai)</t>
  </si>
  <si>
    <t xml:space="preserve">Industry reference</t>
  </si>
  <si>
    <t xml:space="preserve">- MAESTRO is a structure, not a threat library; teams still need OWASP ASI/ATLAS content
- PLOT4ai is privacy/ethics heavy
- CSA and PLOT4ai pages not fetched this session (details from prior knowledge)</t>
  </si>
  <si>
    <t xml:space="preserve">Decomposing agentic systems into layers before applying threat catalogues</t>
  </si>
  <si>
    <t xml:space="preserve">- https://cloudsecurityalliance.org/blog/2025/02/06/agentic-ai-threat-modeling-framework-maestro
- https://plot4.ai/
- https://www.securitycompass.com/devici/ai-infusion/
- https://www.threatmodeler.ai/platform</t>
  </si>
  <si>
    <t xml:space="preserve">Web</t>
  </si>
  <si>
    <t xml:space="preserve">- Microsoft: SDL questions plus 11 AI/ML threat classes (adversarial perturbation, targeted and indiscriminate data poisoning, model inversion, membership inference, model stealing, neural net reprogramming, physical-domain adversarial examples, malicious ML providers, ML supply chain, backdoored models, software dependencies); last updated 2025-03-12
- Google SAIF Risk Map: risk-to-control map across data, infrastructure, model, application and agent layers (unverified this session)</t>
  </si>
  <si>
    <t xml:space="preserve">- Microsoft AETHER-authored living guidance with Failure Modes in ML taxonomy and AI/ML bug bar
- Google SAIF risk map with self-assessment and control mapping</t>
  </si>
  <si>
    <t xml:space="preserve">- Microsoft guidance predates LLM/agentic era in structure despite 2025 refresh
- SAIF page not fetched this session</t>
  </si>
  <si>
    <t xml:space="preserve">Question sets for security engineer and data scientist threat modeling conversations</t>
  </si>
  <si>
    <t xml:space="preserve">- https://learn.microsoft.com/en-us/security/engineering/threat-modeling-aiml
- https://saif.google/secure-ai-framework/risks</t>
  </si>
  <si>
    <t xml:space="preserve">SaaS (Microsoft cloud)</t>
  </si>
  <si>
    <t xml:space="preserve">Natural language, Azure architecture docs, code via GitHub Copilot agent mode; no TMT (.tm7) ingestion</t>
  </si>
  <si>
    <t xml:space="preserve">- Prompt-based STRIDE drafts using Copilot
- Microsoft SDL and AI/ML threat modeling guidance (11 AI/ML threat classes, updated Mar 2025) as prompt context
- GitHub Copilot can call threat modeling MCP servers
- Security Copilot focuses on SOC, not design threat modeling</t>
  </si>
  <si>
    <t xml:space="preserve">GitHub, Azure DevOps (Copilot), M365; MCP via GitHub Copilot</t>
  </si>
  <si>
    <t xml:space="preserve">Microsoft-stack enterprises</t>
  </si>
  <si>
    <t xml:space="preserve">- No product-level threat modeling capability in TMT or Security Copilot as of Sept 2026 (unverified beyond documentation search)
- Same LLM consistency and governance issues as generic prompting
- Licence cost of Copilot seats</t>
  </si>
  <si>
    <t xml:space="preserve">Per user (Copilot licences)</t>
  </si>
  <si>
    <t xml:space="preserve">GitHub Copilot Business ~$19/user/month; M365 Copilot ~$30/user/month (list prices, subject to change)</t>
  </si>
  <si>
    <t xml:space="preserve">Microsoft-centric teams using Copilot in IDE with the AI/ML SDL guidance as a checklist</t>
  </si>
  <si>
    <t xml:space="preserve">- https://learn.microsoft.com/en-us/security/engineering/threat-modeling-aiml
- https://learn.microsoft.com/en-us/azure/security/develop/threat-modeling-tool-releases</t>
  </si>
  <si>
    <t xml:space="preserve">https://learn.microsoft.com/en-us/azure/security/develop/threat-modeling-tool</t>
  </si>
  <si>
    <t xml:space="preserve">Desktop (Windows 10+, .NET 4.7.1+)</t>
  </si>
  <si>
    <t xml:space="preserve">Diagrams (DFD drawn in tool), templates (Azure, generic, medical device, custom stencils)</t>
  </si>
  <si>
    <t xml:space="preserve">- STRIDE-per-element auto threat generation
- Custom templates and stencils (.tb7)
- Reports (HTML)
- Part of Microsoft SDL guidance
- Click-to-download auto-updates</t>
  </si>
  <si>
    <t xml:space="preserve">None native (file-based .tm7; no Jira/ADO/SCM connectors)</t>
  </si>
  <si>
    <t xml:space="preserve">Widely used baseline in Microsoft-centric enterprises and medical device programmes</t>
  </si>
  <si>
    <t xml:space="preserve">Gartner Peer Insights lists 'Microsoft Azure' in the market at 4.0/5 (14 reviews)</t>
  </si>
  <si>
    <t xml:space="preserve">- Windows desktop only; no collaboration or web
- Release cadence slow (v7.3.51110.1 Nov 2025 followed a 2-year gap)
- No AI, no IaC/code ingestion
- No workflow or ticket integration
- Generic threat text needs heavy manual editing</t>
  </si>
  <si>
    <t xml:space="preserve">Quick STRIDE DFD exercises, training, Microsoft-stack teams with no budget</t>
  </si>
  <si>
    <t xml:space="preserve">- https://learn.microsoft.com/en-us/azure/security/develop/threat-modeling-tool-releases
- https://versprite.com/threat-modeling-tools/threat-modeling-tools-compared/
- https://www.gartner.com/reviews/market/threat-modeling-automation</t>
  </si>
  <si>
    <t xml:space="preserve">https://atlas.mitre.org/</t>
  </si>
  <si>
    <t xml:space="preserve">Web (knowledge base, Navigator layers, STIX data)</t>
  </si>
  <si>
    <t xml:space="preserve">Threat knowledge base for AI systems; used as reference in STRIDE GPT, Devici, ThreatModeler</t>
  </si>
  <si>
    <t xml:space="preserve">- ATT&amp;CK-style tactics and techniques for ML/LLM/agentic systems
- atlas-data v2026.09 (15 Sep 2026): 1 matrix, 16 tactics, 120 techniques, 88 sub-techniques, 40 mitigations, 73 case studies
- Monthly data releases through 2026; techniques carry platform designations (Predictive AI, Generative AI, Agentic AI, Enterprise) since v2026.05
- v2026.09 added 11 techniques (incl. Triggers in Multimodal Inputs, AI Agent Response Biasing, Crafted AI Assistant Links) and the AI Honeypots mitigation
- Case studies of real attacks
- Mitigations catalogue
- Arsenal and CALDERA plugins for emulation</t>
  </si>
  <si>
    <t xml:space="preserve">ATT&amp;CK Navigator, STIX, tool mappings</t>
  </si>
  <si>
    <t xml:space="preserve">Government, defence, AI vendors</t>
  </si>
  <si>
    <t xml:space="preserve">- Adversary-technique view; needs pairing with STRIDE-style system decomposition
- Monthly data releases mean technique IDs and counts move quickly; pin a version when mapping threat libraries</t>
  </si>
  <si>
    <t xml:space="preserve">Threat library for AI-system models and red-team scenario mapping</t>
  </si>
  <si>
    <t xml:space="preserve">- https://atlas.mitre.org/
- https://github.com/mrwadams/stride-gpt</t>
  </si>
  <si>
    <t xml:space="preserve">Governance functions (Govern, Map, Measure, Manage) and GenAI risk profile</t>
  </si>
  <si>
    <t xml:space="preserve">- AI RMF 1.0 (Jan 2023)
- Generative AI Profile AI 600-1 (July 2024)
- Playbook
- Concept note for an AI RMF Profile on Trustworthy AI in Critical Infrastructure (2026-04-07)
- NIST states AI RMF 1.0 is being revised as part of the White House AI Action Plan (no date given)
- Maps risk to organisational governance rather than technical threats</t>
  </si>
  <si>
    <t xml:space="preserve">Crosswalked by OWASP GenAI framework crosswalk</t>
  </si>
  <si>
    <t xml:space="preserve">US federal and regulated industries</t>
  </si>
  <si>
    <t xml:space="preserve">- Governance-level; not a threat enumeration
- AI RMF 1.0 revision under the AI Action Plan is announced but undated, so mappings may need rework
- NIST page verified 2026-10-19 (last modified 2026-08-13); nothing new in the 2026-10-05 to 2026-10-19 window</t>
  </si>
  <si>
    <t xml:space="preserve">Framing AI threat modeling outputs for risk committees and audits</t>
  </si>
  <si>
    <t xml:space="preserve">- https://www.nist.gov/itl/ai-risk-management-framework
- https://genai.owasp.org/</t>
  </si>
  <si>
    <t xml:space="preserve">SaaS (read-only GitHub/GitLab connection)</t>
  </si>
  <si>
    <t xml:space="preserve">Code repositories (services, data flows, cloud infra, agent tools), pull requests, IDE via MCP</t>
  </si>
  <si>
    <t xml:space="preserve">- Continuous architectural threat modeling from repos
- PR-level findings before merge
- Detects prompt injection, tool misuse and cross-service trust gaps in agent/MCP systems
- MCP delivery into AI coding workflows</t>
  </si>
  <si>
    <t xml:space="preserve">GitHub, GitLab, IDE, MCP; Claude Code, Cursor and GitHub Copilot integrations announced as planned (June 2026)</t>
  </si>
  <si>
    <t xml:space="preserve">Miro and Tandem Health named as production users in June 2026 funding coverage</t>
  </si>
  <si>
    <t xml:space="preserve">- No pricing disclosure
- No design-doc or diagram input; code-only
- Unproven at enterprise scale
- Seed-stage vendor (EUR 4.5M seed, June 2026)</t>
  </si>
  <si>
    <t xml:space="preserve">Free trial; quote</t>
  </si>
  <si>
    <t xml:space="preserve">AI-first engineering teams wanting always-on architecture threat findings from code</t>
  </si>
  <si>
    <t xml:space="preserve">- https://www.oplane.com/
- https://cybersectools.com/categories/threat-modeling</t>
  </si>
  <si>
    <t xml:space="preserve">Threat taxonomy and reference architectures for agentic systems (ASI threat IDs), MCP server security guide</t>
  </si>
  <si>
    <t xml:space="preserve">- Agentic AI Threats and Mitigations (Feb 2025) with threat-model-driven approach
- OWASP Top 10 for Agentic Applications 2026
- Agent Control Standard (Sept 2026)
- Practical Guide for Secure MCP Server Development
- State of Agentic AI Security and Governance 2.01 (June 2026)
- AIUC-1 crosswalk (May 2026)</t>
  </si>
  <si>
    <t xml:space="preserve">Referenced by STRIDE GPT, Devici (MAESTRO), ThreatModeler</t>
  </si>
  <si>
    <t xml:space="preserve">- Fast-moving; multiple overlapping documents
- Tool support for ASI IDs still limited</t>
  </si>
  <si>
    <t xml:space="preserve">Primary threat catalogue for agentic and MCP-based systems</t>
  </si>
  <si>
    <t xml:space="preserve">- https://genai.owasp.org/initiatives/agentic-security-initiative/
- https://genai.owasp.org/initiatives/
- https://genai.owasp.org/</t>
  </si>
  <si>
    <t xml:space="preserve">300+ pages of AI security controls; periodic table of AI threats and controls</t>
  </si>
  <si>
    <t xml:space="preserve">- Threat matrix across development-time, input, runtime and privacy threats
- Controls catalogue
- Feeds ISO/IEC 27090 and EU AI Act standardisation via SDO liaison
- Guidance on how to threat model AI systems</t>
  </si>
  <si>
    <t xml:space="preserve">Standards alignment (ISO/IEC, CEN/CENELEC)</t>
  </si>
  <si>
    <t xml:space="preserve">Regulators, standards bodies, enterprises</t>
  </si>
  <si>
    <t xml:space="preserve">- Dense; needs distillation into checklists
- Not a tool</t>
  </si>
  <si>
    <t xml:space="preserve">Control selection and regulatory traceability for AI systems</t>
  </si>
  <si>
    <t xml:space="preserve">- https://owaspai.org/
- https://owasp.org/www-project-machine-learning-security-top-10/</t>
  </si>
  <si>
    <t xml:space="preserve">Desktop (print decks) / Web (copi.owasp.org online game)</t>
  </si>
  <si>
    <t xml:space="preserve">Workshop-based; user stories and architecture on whiteboard</t>
  </si>
  <si>
    <t xml:space="preserve">- Cornucopia Website App and Mobile App editions mapped to ASVS/MASVS, CAPEC, SAFECode
- Copi online play
- Threat Dragon 2.6 integration
- Elevation of Privilege (STRIDE) and Cumulus (cloud/DevOps: Access &amp; Secrets, Delivery, Recovery, Monitoring, Resources)
- OWASP Production status (Cornucopia), Lab (Cumulus)</t>
  </si>
  <si>
    <t xml:space="preserve">Threat Dragon</t>
  </si>
  <si>
    <t xml:space="preserve">Widely used in agile teams and training</t>
  </si>
  <si>
    <t xml:space="preserve">- Facilitator-dependent; no persistence unless captured in a tool
- No AI/LLM card sets yet
- Mobile edition version/date not confirmed this session</t>
  </si>
  <si>
    <t xml:space="preserve">$0 (printing cost)</t>
  </si>
  <si>
    <t xml:space="preserve">Developer education and lightweight threat elicitation in sprints</t>
  </si>
  <si>
    <t xml:space="preserve">2026-09-20: [Release] OWASP Cornucopia v3.5.4 shipped as a maintenance release (dependency bumps, sveltekit-i18n 3.0 migration) and added documentation for a spoofing scenario on the Elevation of Privilege SP4 card.</t>
  </si>
  <si>
    <t xml:space="preserve">- https://owasp.org/www-project-cornucopia/
- https://owasp.org/www-project-cumulus/
- https://github.com/owasp/threat-dragon/releases</t>
  </si>
  <si>
    <t xml:space="preserve">https://genai.owasp.org/llm-top-10/</t>
  </si>
  <si>
    <t xml:space="preserve">Risk taxonomy for LLM applications</t>
  </si>
  <si>
    <t xml:space="preserve">- 2025 list: LLM01 Prompt Injection, LLM02 Sensitive Information Disclosure, LLM03 Supply Chain, LLM04 Data and Model Poisoning, LLM05 Improper Output Handling, LLM06 Excessive Agency, LLM07 System Prompt Leakage, LLM08 Vector and Embedding Weaknesses, LLM09 Misinformation, LLM10 Unbounded Consumption
- 2026 edition published 2026-09-01
- Referenced by STRIDE GPT, pytm (LLM01-09 rules), Threat Canvas, SCW</t>
  </si>
  <si>
    <t xml:space="preserve">Mapped in multiple tools</t>
  </si>
  <si>
    <t xml:space="preserve">Industry standard reference</t>
  </si>
  <si>
    <t xml:space="preserve">- Top-10 format, not a full threat model
- 2026 edition contents not yet reflected in most tool libraries</t>
  </si>
  <si>
    <t xml:space="preserve">Baseline threat checklist for any LLM-integrated feature</t>
  </si>
  <si>
    <t xml:space="preserve">- https://genai.owasp.org/llm-top-10/
- https://genai.owasp.org/
- https://github.com/OWASP/pytm</t>
  </si>
  <si>
    <t xml:space="preserve">https://www.primesec.ai/</t>
  </si>
  <si>
    <t xml:space="preserve">SaaS on AWS (multi-tenant, logically isolated customer data; SOC 2 Type II per vendor); also listed on AWS Marketplace</t>
  </si>
  <si>
    <t xml:space="preserve">Development plans, design docs and tickets (scans plans for design flaws); chat-interface agent for developers</t>
  </si>
  <si>
    <t xml:space="preserve">- Autonomous AI design reviews from specs, architecture docs and data flows (before the code)
- AI security code review of human and AI-generated code and security guardrails for coding agents (in the code)
- Continuous white-box pentesting mapping data flows and attack paths (after the code)
- Learn / Detect / Validate / Mitigate / Enforce workflow that turns recurring risks into agent guardrails
- Attack-path based vulnerability prioritisation</t>
  </si>
  <si>
    <t xml:space="preserve">GitHub, GitLab, Azure DevOps, Claude Code, Cursor, Jira, Confluence, Linear, Google Drive, Terraform, Miro, Slack, AWS Marketplace</t>
  </si>
  <si>
    <t xml:space="preserve">- Vendor claims not independently validated
- No public list prices; consumption metric not defined publicly
- No methodology transparency on how design reviews are generated
- Limited public customer references</t>
  </si>
  <si>
    <t xml:space="preserve">Consumption-based (code volume and risk, not per seat) per vendor blog; quote only</t>
  </si>
  <si>
    <t xml:space="preserve">Watch-list only until independently validated</t>
  </si>
  <si>
    <t xml:space="preserve">2026-09-23: [Pricing change] Prime Security blog post (23 Sep 2026) states the product is priced on consumption (code volume and risk) rather than per developer seat; vendor claim, no list prices published. Product page verified this session: now positioned as the Prime Security Platform / Agentic Product Security Platform with autonomous design reviews, AI code review, coding-agent guardrails and continuous white-box pentesting, integrating GitHub, GitLab, Claude Code, Cursor, Jira, Confluence, Azure DevOps, Linear, Terraform and Miro.</t>
  </si>
  <si>
    <t xml:space="preserve">- https://cybersectools.com/categories/threat-modeling?page=2
- https://www.prime.security/</t>
  </si>
  <si>
    <t xml:space="preserve">https://www.securitycompass.com/sdelements/</t>
  </si>
  <si>
    <t xml:space="preserve">SaaS / On-prem (self-managed) - on-prem historically offered; confirm current terms</t>
  </si>
  <si>
    <t xml:space="preserve">Questionnaires/surveys (primary), imported threat models (Devici, diagrams), code repository scans, natural language questions to Navigator, agent queries via MCP</t>
  </si>
  <si>
    <t xml:space="preserve">- Survey-driven generation of security requirements (8,000+ pre-built)
- 100+ compliance frameworks incl. PCI DSS, NIST 800-53, ISO 27001, SOC 2, HIPAA, OWASP
- Just-in-Time Training
- Jira/ADO push and CI/CD gating
- Devici integration for diagrammatic threat models
- ZeroPath AI SAST validation loop (per vendor page)</t>
  </si>
  <si>
    <t xml:space="preserve">Jira, GitHub, GitLab, Azure DevOps, Jenkins, GitHub Actions, GitLab CI, Copilot, Claude (Claude Code), Cursor, ChatGPT Codex (via MCP OAuth, release 2026.10.1), REST API, Devici, Splunk</t>
  </si>
  <si>
    <t xml:space="preserve">Banking (top-3 North American bank cut new-app findings 51%), healthcare, government, ISVs; 'hundreds of development teams'</t>
  </si>
  <si>
    <t xml:space="preserve">Gartner Peer Insights: 4.7/5 (29 reviews), highest review volume in the Threat Modeling Automation market</t>
  </si>
  <si>
    <t xml:space="preserve">- Requirements-centric, not attack-scenario or attack-path modelling
- Survey fatigue and content maintenance overhead at scale
- Two products (SD Elements + Devici) to license and integrate after the 2025 acquisition
- LLM provider and AI data handling undisclosed
- Premium enterprise pricing</t>
  </si>
  <si>
    <t xml:space="preserve">Enterprise subscription (per application/project and per user tiers historically)</t>
  </si>
  <si>
    <t xml:space="preserve">Not publicly disclosed; enterprise deals commonly six figures per year (unverified)</t>
  </si>
  <si>
    <t xml:space="preserve">Compliance-driven organisations that need traceable security requirements and audit evidence, and want agents to consume them via MCP</t>
  </si>
  <si>
    <t xml:space="preserve">2026-10-19: [Release] SD Elements release 2026.10.1 (the October 2026 release per the docs What's New page; exact publication date not shown, observed 2026-10-19) adds two MCP OAuth setup guides, one for SaaS administrators and one for users, covering connecting Claude Code, GitHub Copilot in VS Code and ChatGPT Codex to the SD Elements MCP Server. It also documents file requirements for scan-report uploads to project verification connections (supported upload systems, accepted file types, 16 MB default limit). Release 2026.9.2 listed no documented changes.</t>
  </si>
  <si>
    <t xml:space="preserve">- https://www.securitycompass.com/sdelements/
- https://www.securitycompass.com/sdelements/navigator/
- https://docs.sdelements.com/release/latest/guide/docs/whatsnew.html
- https://finance.yahoo.com/news/security-compass-releases-solution-address-133000786.html
- https://www.gartner.com/reviews/market/threat-modeling-automation/vendor/security-compass/product/sd-elements</t>
  </si>
  <si>
    <t xml:space="preserve">SaaS / On-prem (historically both; confirm current)</t>
  </si>
  <si>
    <t xml:space="preserve">Architecture models built in securiCAD, cloud environment import (AWS/Azure), CI/CD-triggered simulations</t>
  </si>
  <si>
    <t xml:space="preserve">- AI/probabilistic attack simulation on architecture models (MAL-based)
- Attack-path and time-to-compromise analysis
- Mitigation what-if testing
- Continuous risk monitoring via SDLC/CI integration</t>
  </si>
  <si>
    <t xml:space="preserve">AWS/Azure import, CI/CD; ticketing not documented</t>
  </si>
  <si>
    <t xml:space="preserve">Energy, finance, defence in Nordics (historical); not disclosed on site</t>
  </si>
  <si>
    <t xml:space="preserve">- Corporate status unclear: acquisition history could not be verified this session; treat as vendor-viability question
- Modelling effort high; simulation-centric rather than developer-friendly
- No LLM/agentic features
- Pricing opaque</t>
  </si>
  <si>
    <t xml:space="preserve">Quote</t>
  </si>
  <si>
    <t xml:space="preserve">Infrastructure and OT architecture attack-path simulation; not application secure-design workflows</t>
  </si>
  <si>
    <t xml:space="preserve">- https://foreseeti.com/
- https://versprite.com/threat-modeling-tools/threat-modeling-tools-compared/</t>
  </si>
  <si>
    <t xml:space="preserve">Design docs, feature descriptions, Jira tickets, Google Docs, Confluence, SharePoint, Notion, Slack threads, architecture diagrams; coding agents via Seezo Agent</t>
  </si>
  <si>
    <t xml:space="preserve">- Automated security design reviews and threat models in minutes from any design-level input
- Explainable decision tree per requirement (logic path, rule triggered, input excerpt)
- Attack-path mapping and security requirements
- Delivery into Jira, Linear, ServiceNow, Slack
- Seezo Agent for Claude and Cursor</t>
  </si>
  <si>
    <t xml:space="preserve">Slack, Jira, GitHub, Confluence, Google Docs, Linear, ServiceNow, Claude, Cursor</t>
  </si>
  <si>
    <t xml:space="preserve">ASCOT (insurance), Razorpay (fintech), Sidekick Security (consulting)</t>
  </si>
  <si>
    <t xml:space="preserve">Gartner Peer Insights: 5.0/5 (1 review)</t>
  </si>
  <si>
    <t xml:space="preserve">- Early-stage vendor (11-50 staff)
- No attack-tree/business-impact depth (VerSprite)
- SaaS-only, Claude-only
- Thin public evidence base
- Pricing undisclosed</t>
  </si>
  <si>
    <t xml:space="preserve">Free start tier; enterprise quote</t>
  </si>
  <si>
    <t xml:space="preserve">High-velocity product teams that want design reviews from existing docs without drawing diagrams</t>
  </si>
  <si>
    <t xml:space="preserve">- https://seezo.io/
- https://www.crunchbase.com/organization/seezo
- https://www.gartner.com/reviews/product/seezo
- https://versprite.com/threat-modeling-tools/threat-modeling-tools-compared/</t>
  </si>
  <si>
    <t xml:space="preserve">Desktop (card decks, PDFs, courses)</t>
  </si>
  <si>
    <t xml:space="preserve">Whiteboard/diagram-driven workshops; four-question frame (what are we working on, what can go wrong, what are we going to do, did we do a good job)</t>
  </si>
  <si>
    <t xml:space="preserve">- Elevation of Privilege card game (STRIDE; privacy and TRIM extensions)
- 'Threat Modeling: Designing for Security' and 'Threats: What Every Engineer Should Learn from Star Wars'
- Fast, Cheap + Good methodology
- World's Shortest Threat Modeling Course and LinkedIn Learning
- Threat Modeling Manifesto co-author</t>
  </si>
  <si>
    <t xml:space="preserve">Training clients across industries</t>
  </si>
  <si>
    <t xml:space="preserve">- Method and training, not software
- Scaling relies on facilitators
- Blog verified 2026-10-19 (posts through 2026-10-15); no new tool, card deck or book announced in the 2026-10-05 to 2026-10-19 window</t>
  </si>
  <si>
    <t xml:space="preserve">Free resources; paid training and consulting</t>
  </si>
  <si>
    <t xml:space="preserve">Free to several thousand USD per training seat (unverified)</t>
  </si>
  <si>
    <t xml:space="preserve">Building the human practice and culture before or alongside tooling</t>
  </si>
  <si>
    <t xml:space="preserve">- https://shostack.org/resources/threat-modeling
- https://shostack.org/blog
- https://owasp.org/www-project-cumulus/
- https://owasp.org/www-project-cornucopia/</t>
  </si>
  <si>
    <t xml:space="preserve">https://www.secureflag.com/threat-modeling/</t>
  </si>
  <si>
    <t xml:space="preserve">SaaS / self-hosted option per vendor; Docker-based code-analysis runner keeps source in customer infrastructure</t>
  </si>
  <si>
    <t xml:space="preserve">Natural language descriptions, documentation, architecture diagrams (AI interpretation of existing images), IaC, source code repositories via CI/CD runner (GitHub Actions, GitLab CI, Jenkins, Azure DevOps, CircleCI, Bitbucket)</t>
  </si>
  <si>
    <t xml:space="preserve">- AI generation of complete threat models in seconds from text, IaC, diagram or code
- Risk templates for LLMs, agentic systems and AI-generated code
- Compliance alignment to NIST SSDF, ISO 27001, PCI DSS, HIPAA, OWASP
- Jira and Azure DevOps work-item push
- ThreatCanvas Projects for portfolio grouping (Oct 2025)
- Built-in threat modeling training</t>
  </si>
  <si>
    <t xml:space="preserve">Jira (Atlassian Marketplace app), Azure DevOps, GitHub Actions, GitLab CI, Jenkins, CircleCI, Bitbucket Pipelines, SecureFlag MCP Server (Claude Code, Codex and other MCP clients), API, AWS Marketplace listing</t>
  </si>
  <si>
    <t xml:space="preserve">OWASP membership benefit; Gartner PI reviewers from $1B-10B services firms; named logos not disclosed</t>
  </si>
  <si>
    <t xml:space="preserve">Gartner Peer Insights: 5.0/5 (2 reviews, Dec 2025)</t>
  </si>
  <si>
    <t xml:space="preserve">- Acquisition rumour in the brief unverified: confirm ownership before contracting
- Small review base
- Deep library and compliance depth less mature than IriusRisk/SD Elements
- Quality of AI-generated models depends on BYO-LLM choice
- Enterprise pricing not published</t>
  </si>
  <si>
    <t xml:space="preserve">Per user/seat subscription (with SecureFlag platform bundles); free for OWASP members</t>
  </si>
  <si>
    <t xml:space="preserve">Teams that want AI-first, code-to-threat-model automation with their own LLM keys and existing SecureFlag training</t>
  </si>
  <si>
    <t xml:space="preserve">2026-09-15: [Feature launch] SecureFlag introduced the SecureFlag MCP Server, letting MCP clients such as Claude Code and Codex generate shareable ThreatCanvas threat models for a user story and pull contextual training labs from inside the coding workflow.</t>
  </si>
  <si>
    <t xml:space="preserve">- https://www.secureflag.com/threat-modeling/
- https://blog.secureflag.com/2026/01/13/code-repo-to-threatcanvas/
- https://owasp.github.io/blog/2024/05/30/secureflag-threatcanvas-member-benefit
- https://www.gartner.com/reviews/market/threat-modeling-automation/vendor/secureflag/product/threat-canvas
- https://www.securecodewarrior.com/article/threat-modeling-with-ai-turning-every-developer-into-a-threat-modeler</t>
  </si>
  <si>
    <t xml:space="preserve">https://www.threatmodeler.ai/</t>
  </si>
  <si>
    <t xml:space="preserve">SaaS (ThreatModeler Nexus FedRAMP Moderate authorised, Sept 2026, Knox-sponsored) / On-prem and private cloud historically offered (confirm current availability with vendor)</t>
  </si>
  <si>
    <t xml:space="preserve">Diagrams and EA imports, IaC (Terraform, CloudFormation, Azure Resource Manager via IaC-Assist), live cloud accounts (AWS, Azure, GCP via CloudModeler), documents, natural language via MCP-connected AI assistants</t>
  </si>
  <si>
    <t xml:space="preserve">- Agentic platform with System Mapping, Graph and Reporting agents over a 'Secure Design Graph'
- STRIDE, PASTA and CSA MAESTRO for agentic systems
- Control mapping to NIST, ISO 27001, PCI DSS, HIPAA, DORA, EU AI Act; claims 180+ frameworks
- CloudModeler live import and threat-drift tracking for AWS/Azure/GCP
- IaC-Assist analyses Terraform/CloudFormation/ARM in the IDE
- ThreatModeler MCP server for GitHub, IDEs and AI assistants</t>
  </si>
  <si>
    <t xml:space="preserve">Jira and ticketing, CI/CD, GitHub, IDEs, diagram and EA import, AWS/Azure/GCP connectors, MCP server, REST API</t>
  </si>
  <si>
    <t xml:space="preserve">Deloitte, Dollar General, IBM Security, Santander, Raiffeisen Bank International, Medtronic, KPMG, Athenahealth, 74 Software (per vendor site); US federal via FedRAMP</t>
  </si>
  <si>
    <t xml:space="preserve">Gartner Peer Insights: 5.0/5 (1 review); raised $60M from Invictus (2024); acquired IriusRisk Jan 2026; no MQ/Wave</t>
  </si>
  <si>
    <t xml:space="preserve">- Post-merger portfolio overlap with IriusRisk; consolidation plan not published
- Product pages are marketing-heavy; IaC-Assist and deployment specifics moved behind sales
- LLM provider, data handling and on-prem AI not disclosed
- Very thin public review base (1 Gartner PI review)
- Historically premium enterprise pricing with per-model/per-user structures (Devici explicitly markets against this)</t>
  </si>
  <si>
    <t xml:space="preserve">Enterprise subscription; historically per user and per threat model tiers</t>
  </si>
  <si>
    <t xml:space="preserve">Not publicly disclosed; enterprise deals typically six figures per year (unverified)</t>
  </si>
  <si>
    <t xml:space="preserve">Large enterprises and US federal agencies needing cloud-native, portfolio-scale threat modeling with FedRAMP and MCP-driven automation</t>
  </si>
  <si>
    <t xml:space="preserve">2026-09-14: [Feature GA] ThreatModeler Nexus received FedRAMP Moderate authorization (sponsored by Knox), making the agentic threat modeling platform available to US federal agencies for CUI and moderate-impact systems.</t>
  </si>
  <si>
    <t xml:space="preserve">- https://www.threatmodeler.ai/
- https://www.threatmodeler.ai/products/cloudmodeler
- https://www.threatmodeler.ai/platform
- https://siliconangle.com/2026/01/08/threatmodeler-acquires-competing-threat-modeling-startup-iriusrisk/
- https://finance.yahoo.com/news/threatmodeler-raises-60-million-invictus-133000790.html</t>
  </si>
  <si>
    <t xml:space="preserve">SaaS (shared tenant for Community; single tenant for Enterprise)</t>
  </si>
  <si>
    <t xml:space="preserve">MITRE ATT&amp;CK technique sets and matrices, threat intel reports (NARC AI parses unstructured intel), defensive stack inventories</t>
  </si>
  <si>
    <t xml:space="preserve">- Threat-informed defense: coverage mapping against ATT&amp;CK
- Procedures Library
- Tidal Confidence Score and prioritised remediation
- NARC AI turns intel into ATT&amp;CK-aligned procedures
- MCP Server for AI workflows</t>
  </si>
  <si>
    <t xml:space="preserve">XDR, EDR, SIEM integrations (Enterprise), MCP</t>
  </si>
  <si>
    <t xml:space="preserve">Enterprise SOC and CTI teams; not disclosed</t>
  </si>
  <si>
    <t xml:space="preserve">not rated in threat modeling automation</t>
  </si>
  <si>
    <t xml:space="preserve">- Adversary/detection-coverage modeling, not application design threat modeling
- No STRIDE/DFD workflow
- Enterprise pricing undisclosed</t>
  </si>
  <si>
    <t xml:space="preserve">Free Community; Enterprise quote</t>
  </si>
  <si>
    <t xml:space="preserve">Mapping threat models to ATT&amp;CK-based detection coverage; adjacent, not core</t>
  </si>
  <si>
    <t xml:space="preserve">Visio, draw.io, Lucidchart diagrams with security metadata; Terraform schemas; Excel</t>
  </si>
  <si>
    <t xml:space="preserve">- Metadata-driven automatic threat and mitigation generation
- STRIDE with Rapid Threat Model Prototyping (RTMP)
- Threat paths and risk prioritisation
- Works from existing design diagrams</t>
  </si>
  <si>
    <t xml:space="preserve">Diagram tools import; no Jira/ADO documented</t>
  </si>
  <si>
    <t xml:space="preserve">- Website copyright 2024 and blog last updated Nov 2023: low visible activity
- No AI
- Narrow input set
- No published pricing or customers
- Vendor viability risk</t>
  </si>
  <si>
    <t xml:space="preserve">Small teams with Visio/draw.io diagrams wanting rules-based automation; treat as niche/legacy</t>
  </si>
  <si>
    <t xml:space="preserve">- https://tutamantic.com/
- https://sourceforge.net/software/product/Tutamen-Threat-Model-Automator4/
- https://tutamanticsec.ghost.io/how-threat-model-automation-solves-the-challenge-for-small-development-teams-in-large-organisations/</t>
  </si>
  <si>
    <t xml:space="preserve">On-prem / Docker (Python, MySQL, Graphviz)</t>
  </si>
  <si>
    <t xml:space="preserve">Requirements, personas, attack patterns, architectural patterns, data flows entered in the tool</t>
  </si>
  <si>
    <t xml:space="preserve">- Integrates usability, requirements management and risk analysis
- Attack trees, personas, misuse cases, CAPEC-style attack patterns
- Architectural pattern analysis
- DFD and risk model visualisation</t>
  </si>
  <si>
    <t xml:space="preserve">None (standalone)</t>
  </si>
  <si>
    <t xml:space="preserve">Academic and research use; 172 stars</t>
  </si>
  <si>
    <t xml:space="preserve">- Last release v2.3.9 (Feb 2023), effectively dormant
- Steep learning curve
- No AI, no integrations
- Small community</t>
  </si>
  <si>
    <t xml:space="preserve">Research or human-factors-heavy security requirements work; not recommended for enterprise programmes</t>
  </si>
  <si>
    <t xml:space="preserve">- https://github.com/cairis-platform/cairis
- https://cybersectools.com/categories/threat-modeling</t>
  </si>
  <si>
    <t xml:space="preserve">Desktop / CI (Python library, CLI, Docker)</t>
  </si>
  <si>
    <t xml:space="preserve">Threat-model-as-code in Python; natural language via pytmGPT (OpenAI) to draft models</t>
  </si>
  <si>
    <t xml:space="preserve">- Programmatic model definition with 100+ threat rules (INP, CR, AC, DS, DE, DO, HA, SC, AA, LB, API, DR, LLM01-LLM09)
- DFD and sequence diagram generation
- Markdown/HTML/JSON/reveal.js outputs
- OpenSSF Best Practices badge
- Version-control friendly
- v1.4.0 (latest on GitHub Releases): dedicated LLM element class with LLM-specific threat definitions, likelihood field on findings, Pydantic v2 internal model, Python 3.11 minimum, sqlDump removed</t>
  </si>
  <si>
    <t xml:space="preserve">CI/CD via CLI; Git; no Jira/ADO connectors</t>
  </si>
  <si>
    <t xml:space="preserve">Engineering-centric teams; 1.2k GitHub stars</t>
  </si>
  <si>
    <t xml:space="preserve">- Requires Python skills; low accessibility for non-engineers
- No GUI or collaboration
- Threat rule quality is coarse (attribute-flag matching)
- Sparse release cadence (latest release v1.4.0; no release in the 21 Sep to 5 Oct 2026 window)
- v1.4.0 raises the minimum Python to 3.11 and requires Pydantic v2, which can break older model scripts
- pytmGPT is a thin OpenAI wrapper</t>
  </si>
  <si>
    <t xml:space="preserve">Platform and DevSecOps teams that want threat models versioned next to code in CI</t>
  </si>
  <si>
    <t xml:space="preserve">- https://github.com/OWASP/pytm
- https://versprite.com/threat-modeling-tools/threat-modeling-tools-compared/
- https://cybersectools.com/categories/threat-modeling</t>
  </si>
  <si>
    <t xml:space="preserve">https://github.com/OWASP/threat-dragon</t>
  </si>
  <si>
    <t xml:space="preserve">Desktop (Windows/macOS/Linux) / Web (self-hosted, Docker) / Docker</t>
  </si>
  <si>
    <t xml:space="preserve">Diagrams (DFD editor); JSON model files stored on GitHub, GitLab, Bitbucket, Google Drive or local filesystem</t>
  </si>
  <si>
    <t xml:space="preserve">- STRIDE, LINDDUN, CIA, DIE and PLOT4ai threat categorisation
- OWASP Cornucopia integration and threat model templates (v2.6.0, Mar 2025)
- PDF/report export
- OWASP Production (flagship) status
- TM-BOM interoperability with pytm/Threagile on the v3 roadmap</t>
  </si>
  <si>
    <t xml:space="preserve">GitHub, GitLab, Bitbucket, Google Drive storage backends; no Jira/ADO</t>
  </si>
  <si>
    <t xml:space="preserve">Broad community use; 4 Gartner PI reviews at 4.6/5</t>
  </si>
  <si>
    <t xml:space="preserve">Gartner Peer Insights: 4.6/5 (4 reviews)</t>
  </si>
  <si>
    <t xml:space="preserve">- No AI or automation; manual threat entry
- Last release v2.6.2 (May 2025) - 16 months with only patch-level activity
- No enterprise governance, RBAC or portfolio views
- No ticketing integration
- v3 direction undefined</t>
  </si>
  <si>
    <t xml:space="preserve">Teams needing a free, auditable diagram-based tool with Git-native storage and Cornucopia gameplay</t>
  </si>
  <si>
    <t xml:space="preserve">- https://github.com/owasp/threat-dragon/releases
- https://owasp.org/www-project-threat-dragon/
- https://github.com/OWASP/threat-dragon</t>
  </si>
  <si>
    <t xml:space="preserve">Self-hosted via Docker Compose (Django + PostgreSQL + React); shared hosted demo at app.precogly.org (data resets periodically); no commercial SaaS</t>
  </si>
  <si>
    <t xml:space="preserve">Input types: DFD diagrams (drag-and-drop editor, DFD3 / Yourdon-DeMarco notation, nested components, trust zones); architecture diagram images (AI DFD generation, vendor-stated); TM-BOM JSON (CycloneDX TM-BOM import/export); REST API with OpenAPI spec</t>
  </si>
  <si>
    <t xml:space="preserve">- Advanced DFD editor with nested components and trust zones
- Community library packs: MITRE ATT&amp;CK, CAPEC, CWE, STRIDE, LINDDUN, OWASP LLM Top 10
- Compliance mapping to DORA, EU CRA, ASVS, NIST CSF, SOC 2
- CycloneDX TM-BOM import/export, CSV and Word report generation (threat model as code)
- Workspace-based team collaboration
- OAuth 2.1, REST API, GitHub Actions CI/CD examples</t>
  </si>
  <si>
    <t xml:space="preserve">Docker Compose; REST API / OpenAPI; MCP server for AI agents; GitHub Actions; TM-BOM JSON exchange with other tools; no Jira, Azure DevOps or SCM integration documented</t>
  </si>
  <si>
    <t xml:space="preserve">None named; community project advised by unnamed Fortune 500 practitioners (vendor-stated); Threat Modeling Connect community</t>
  </si>
  <si>
    <t xml:space="preserve">- Pre-1.0 and very young (first public release 0.1.0 on 2026-04-28; 173 GitHub stars, 39 forks and 158 open issues at 19 Oct 2026); single primary maintainer risk
- No Jira / ADO / SCM integration, no IaC or code ingestion
- AI threat suggestion quality unbenchmarked; depends on the LLM you bring
- CHANGELOG lists 0.4.0 (2026-09-15) as latest; GitHub Releases lagged the changelog at earlier checks, so verify the tag before relying on AI or MCP features
- No enterprise support, SSO beyond OAuth 2.1, or audit features documented</t>
  </si>
  <si>
    <t xml:space="preserve">Free; self-hosting infrastructure and LLM token costs only</t>
  </si>
  <si>
    <t xml:space="preserve">Teams wanting a free, self-hosted, AI-assisted successor to Threat Dragon with TM-BOM portability; pilots and internal accelerators; not yet for regulated client delivery</t>
  </si>
  <si>
    <t xml:space="preserve">2026-09-27: [New entrant] Added to landscape; OWASP project designation; website lists v0.4.0 with BYO-LLM threat suggestion and MCP server
2026-09-15: [Release] Precogly v0.4.0 released with LLM-based threat suggestor on per-tenant bring-your-own-model infrastructure, taxonomy packs (CAPEC, CWE, MITRE ATT&amp;CK, MITRE ATLAS), CycloneDX 2.0 TM-BOM import/export, risk register with kanban view, OAuth 2.1 authorization server and a 41-component AWS library pack.</t>
  </si>
  <si>
    <t xml:space="preserve">- https://www.precogly.org/
- https://github.com/precogly/precogly
- https://github.com/OWASP/Precogly
- https://precogly.github.io/precogly/concepts/threat-model-as-code/</t>
  </si>
  <si>
    <t xml:space="preserve">https://github.com/RedHatProductSecurity/agentic-threat-modeling</t>
  </si>
  <si>
    <t xml:space="preserve">On-prem / local (installed into the developer's AI coding agent via the Lola package manager; runs wherever Claude Code, Cursor or Gemini CLI runs)</t>
  </si>
  <si>
    <t xml:space="preserve">Six threat-modelling methodologies (STRIDE, PASTA, LINDDUN, VAST, Attack Trees, OCTAVE); code-agnostic (reads source and design context); no ASVS, CWE or compliance-framework mapping documented</t>
  </si>
  <si>
    <t xml:space="preserve">- Narrative threat model generated from a repo or feature with citations to specific files and lines
- Modes: quick scan, guided session, comprehensive analysis, PR-scoped review, iterative update
- THREAT_MODEL.md output with executive summary, architecture, threat actors, asset and data-classification inventory, attack surface, kill-chain scenarios and mitigation roadmap
- PR Threat Assessment for branch/PR changes
- Runs inside Claude Code, Cursor, Gemini CLI and other agents supported by Lola</t>
  </si>
  <si>
    <t xml:space="preserve">Claude Code, Cursor, Gemini CLI (via Lola); Git/PR workflow; Markdown output only</t>
  </si>
  <si>
    <t xml:space="preserve">Used internally by Red Hat Product Security (per vendor article); no external references</t>
  </si>
  <si>
    <t xml:space="preserve">Not rated. Open-source skill pack from Red Hat Product Security showing threat modelling being pushed into AI coding agents; free baseline against Devici, IriusRisk, Seezo, STRIDE GPT and SD Elements Agentic AI Workflow</t>
  </si>
  <si>
    <t xml:space="preserve">- No requirement library, standards mapping or compliance reporting
- Output is Markdown only; no Jira/ADO push or traceability
- Depends on Lola package manager and a paid frontier-model coding agent
- Very early: 14 stars, 4 forks, no releases and no code pushes since 2026-08-11 at 19 Oct 2026
- LLM output quality unvalidated independently</t>
  </si>
  <si>
    <t xml:space="preserve">Free (Apache 2.0)</t>
  </si>
  <si>
    <t xml:space="preserve">$0 plus LLM/agent subscription costs</t>
  </si>
  <si>
    <t xml:space="preserve">Teams already on Claude Code/Cursor wanting a free, methodology-driven threat model and mitigation list per PR before buying a platform</t>
  </si>
  <si>
    <t xml:space="preserve">2026-09-21: [New entrant] Red Hat Product Security open-sourced agentic-threat-modeling (Apache 2.0), a Lola module that runs STRIDE/PASTA/LINDDUN/VAST/Attack Trees/OCTAVE inside Claude Code, Cursor and Gemini CLI and emits a THREAT_MODEL.md with code-cited threats and mitigations.</t>
  </si>
  <si>
    <t xml:space="preserve">https://developers.redhat.com/articles/2026/09/21/ai-threat-modeling-shouldnt-be-a-bottleneck-so-we-open-sourced-ours|https://github.com/RedHatProductSecurity/agentic-threat-modeling</t>
  </si>
  <si>
    <t xml:space="preserve">Desktop / self-hosted (pip CLI, Streamlit web UI, Docker) / hosted MCP at mcp.stridegpt.ai</t>
  </si>
  <si>
    <t xml:space="preserve">Natural language app descriptions, architecture diagram images (multimodal), GitHub and GitHub Enterprise repositories (agentic codebase analysis), DFD editing</t>
  </si>
  <si>
    <t xml:space="preserve">- STRIDE threat model with subsystem analysis
- Attack trees (Mermaid), DREAD scoring, Gherkin test cases
- MITRE ATT&amp;CK and ATLAS mapping
- OWASP LLM Top 10 and Agentic (ASI) threat support
- Markdown/JSON/SARIF/HTML output
- Operationalisation guide for enterprise
- v0.20.0: checkpoint resumption of interrupted repo analyses, evidence-verified report_threat tool, per-phase token accounting, subsystem outcome tracking</t>
  </si>
  <si>
    <t xml:space="preserve">GitHub, MCP clients, other MCP servers (Terraform, Kubernetes, AWS, Docker Hub); no Jira/ADO</t>
  </si>
  <si>
    <t xml:space="preserve">Community; 1.1k stars, 319 forks</t>
  </si>
  <si>
    <t xml:space="preserve">- Single-maintainer project; no SLA
- Output quality varies by model; no deterministic rules engine
- No persistence, RBAC or portfolio management
- No native ticketing
- Security review of prompts/data flows needed before enterprise use</t>
  </si>
  <si>
    <t xml:space="preserve">Free (LLM API costs borne by user)</t>
  </si>
  <si>
    <t xml:space="preserve">$0 plus LLM tokens</t>
  </si>
  <si>
    <t xml:space="preserve">AppSec teams prototyping AI-assisted STRIDE, or as a reference implementation for an internal BYO-LLM tool</t>
  </si>
  <si>
    <t xml:space="preserve">2026-09-26: [Release] STRIDE GPT v0.20.0 added OpenRouter as a model provider, resumable /analyze agent runs from checkpoints, evidence-backed threat reporting via a dedicated tool and per-phase token usage tracking, plus sandboxing and CodeQL hardening fixes.</t>
  </si>
  <si>
    <t xml:space="preserve">- https://github.com/mrwadams/stride-gpt
- https://github.com/mrwadams/stride-gpt/releases
- https://github.com/mrwadams/mcp-stride-gpt
- https://pypi.org/project/stride-gpt/</t>
  </si>
  <si>
    <t xml:space="preserve">Desktop / CI (Go CLI, Docker, REST server mode)</t>
  </si>
  <si>
    <t xml:space="preserve">YAML architecture models (threat-model-as-code) with includes and macros</t>
  </si>
  <si>
    <t xml:space="preserve">- Agile threat modeling toolkit with built-in and custom risk rules
- Data-asset and data-flow diagram generation
- PDF report, Excel and JSON risk exports
- Model macros for rapid scaffolding
- REST API server</t>
  </si>
  <si>
    <t xml:space="preserve">CI/CD via CLI and Docker; REST API; no Jira/ADO</t>
  </si>
  <si>
    <t xml:space="preserve">Community use; 780 GitHub stars</t>
  </si>
  <si>
    <t xml:space="preserve">- Requires technical fluency in YAML schema
- Slow release cadence; maintenance largely community-driven
- No GUI/collaboration
- No AI or code ingestion
- Risk rule set fixed unless you write Go/YAML plugins</t>
  </si>
  <si>
    <t xml:space="preserve">DevSecOps teams wanting version-controlled, pipeline-executed threat models with PDF evidence</t>
  </si>
  <si>
    <t xml:space="preserve">- https://github.com/Threagile/threagile
- https://versprite.com/threat-modeling-tools/threat-modeling-tools-compared/
- https://plurilock.com/glossary/threat-modeling-as-code/</t>
  </si>
  <si>
    <t xml:space="preserve">https://github.com/awslabs/threat-composer</t>
  </si>
  <si>
    <t xml:space="preserve">Web (GitHub Pages demo or self-hosted via CDK) / Desktop (VS Code extension via AWS Toolkit, browser extension) / CLI and MCP server</t>
  </si>
  <si>
    <t xml:space="preserve">Structured threat statements (grammar-based), .tc.json files, source code (CLI/MCP generate starter model from codebase), natural language through MCP clients</t>
  </si>
  <si>
    <t xml:space="preserve">- Threat statement grammar and reference packs
- Assumptions, mitigations, insights dashboards
- VS Code and browser extensions rendering .tc.json in GitHub/GitLab/Bitbucket
- AI-assisted CLI and MCP server built on AWS Bedrock and Strands agents
- Separate awslabs threat-modeling-mcp-server: 9-phase STRIDE workflow, 11 tools incl. code validation evidence</t>
  </si>
  <si>
    <t xml:space="preserve">VS Code, GitHub/GitLab/Bitbucket (browser extension), MCP clients (Claude, Amazon Q Developer, Cursor), AWS CDK deploy; no Jira</t>
  </si>
  <si>
    <t xml:space="preserve">AWS customers and Solutions Architects; 780 stars</t>
  </si>
  <si>
    <t xml:space="preserve">- No diagramming canvas; threat-statement-first
- No built-in threat library beyond reference packs
- AI path requires AWS account and Bedrock
- No enterprise RBAC, portfolio or ticketing
- Community support only</t>
  </si>
  <si>
    <t xml:space="preserve">Free (Bedrock inference charged)</t>
  </si>
  <si>
    <t xml:space="preserve">$0 plus Bedrock tokens</t>
  </si>
  <si>
    <t xml:space="preserve">AWS-centric teams wanting lightweight threat statements in Git and agent-driven starter models from code</t>
  </si>
  <si>
    <t xml:space="preserve">- https://github.com/awslabs/threat-composer
- https://github.com/awslabs/threat-composer/releases
- https://github.com/awslabs/threat-modeling-mcp-server
- https://cafeai.home.blog/2026/05/27/threat-modeling-mcp-server/</t>
  </si>
  <si>
    <t xml:space="preserve">Desktop / CI (Go CLI and framework)</t>
  </si>
  <si>
    <t xml:space="preserve">Not a threat modeling input tool: detonates attack techniques (local, SSH, Stratus Red Team, AWS CLI) and asserts alerts in Datadog or Elastic</t>
  </si>
  <si>
    <t xml:space="preserve">- End-to-end detection rule testing
- Attack detonation and alert matching with UUID correlation
- Complements threat models by validating detection coverage</t>
  </si>
  <si>
    <t xml:space="preserve">Datadog, Elastic Security, Stratus Red Team, AWS</t>
  </si>
  <si>
    <t xml:space="preserve">Detection engineering teams; 345 stars</t>
  </si>
  <si>
    <t xml:space="preserve">- Out of scope for design-phase threat modeling
- Only Datadog/Elastic matchers
- Go expertise required</t>
  </si>
  <si>
    <t xml:space="preserve">Validating that threats identified in a model have working detections; not a threat modeling tool</t>
  </si>
  <si>
    <t xml:space="preserve">Desktop / CI (Python CLI)</t>
  </si>
  <si>
    <t xml:space="preserve">Code annotations (comments) in source files; generates reports and DFDs</t>
  </si>
  <si>
    <t xml:space="preserve">- Threat-model-as-code via inline annotations (@mitigates, @exposes, @accepts)
- Report and DFD generation
- Developer-owned threat documentation</t>
  </si>
  <si>
    <t xml:space="preserve">CI via CLI; none otherwise</t>
  </si>
  <si>
    <t xml:space="preserve">Community; 391 stars</t>
  </si>
  <si>
    <t xml:space="preserve">- Appears dormant (99 commits, last release circa 2020, unverified this session)
- Annotation discipline hard to sustain
- No AI, no UI, no integrations</t>
  </si>
  <si>
    <t xml:space="preserve">Concept reference for code-adjacent threat documentation; not for adoption</t>
  </si>
  <si>
    <t xml:space="preserve">- https://github.com/threatspec/threatspec
- https://plurilock.com/glossary/threat-modeling-as-code/</t>
  </si>
  <si>
    <t xml:space="preserve">Security Requirements: tool landscape</t>
  </si>
  <si>
    <t xml:space="preserve">28 tools. Research cut-off 2026-10-19. Vendor-claimed items are labelled; unverified items say so. See OWASP Projects and Market Notes sheets for this category.</t>
  </si>
  <si>
    <t xml:space="preserve">Hybrid (dedicated SaaS, self-hosted, private cloud, air-gapped)</t>
  </si>
  <si>
    <t xml:space="preserve">EU CRA continuous product security reporting, UK TSA code of practice, SOC 2; AI SAST, SCA, API testing, autonomous pentest</t>
  </si>
  <si>
    <t xml:space="preserve">- AI SAST and API security testing
- Autonomous offensive testing (Apr 2026)
- Auto code fix PRs
- CRA compliance reporting
- Kubernetes/IaC assurance</t>
  </si>
  <si>
    <t xml:space="preserve">Jira, ServiceNow, SCM, CI/CD, SSO</t>
  </si>
  <si>
    <t xml:space="preserve">1,000+ apps/APIs, 9,000+ users (vendor); RSAC 2026 awards</t>
  </si>
  <si>
    <t xml:space="preserve">Testing-first platform; not a requirements tool</t>
  </si>
  <si>
    <t xml:space="preserve">- No requirement authoring
- No ASVS traceability
- Pricing undisclosed</t>
  </si>
  <si>
    <t xml:space="preserve">Verification side of a requirements program in air-gapped settings</t>
  </si>
  <si>
    <t xml:space="preserve">- https://www.aptori.com/
- https://www.helpnetsecurity.com/2026/04/27/aptori-autonomous-offensive-testing-capabilities/
- https://www.prnewswire.com/news-releases/aptori-launches-autonomous-offensive-testing-to-eliminate-the-ai-driven-security-backlog-302753412.html</t>
  </si>
  <si>
    <t xml:space="preserve">Compliance/policy reporting against NIST, PCI DSS, ISO 27001, EU Cyber Resilience Act (dedicated CRA capabilities since June 2026) and others (framework list not itemised); 375+ integrations</t>
  </si>
  <si>
    <t xml:space="preserve">- Findings correlation and de-duplication
- Risk-based prioritisation (EPSS/KEV)
- Policy-as-code SLAs and compliance dashboards
- Anya agentic AI insights on Context Risk Graph
- Anya agents for cloud risk analysis, exploitability, mitigation and patch orchestration via Agentic Control plane (launched Aug 2026 at Black Hat, covered again Sept 2026)
- EU Cyber Resilience Act module: product classification, disclosure workflow deadlines, SBOM/VEX management, audit trails (June 2026)
- Remediation workflows to owners</t>
  </si>
  <si>
    <t xml:space="preserve">Jira, Azure DevOps, ServiceNow, WAF and EDR platforms, 375+ scanners/cloud</t>
  </si>
  <si>
    <t xml:space="preserve">Visa, PayPal, Discover, Johnson Controls, Fortinet</t>
  </si>
  <si>
    <t xml:space="preserve">Leading ASPM vendor (Gartner ASPM coverage)</t>
  </si>
  <si>
    <t xml:space="preserve">- No requirement generation or user-story traceability
- Compliance mapping is finding-centric
- Pricing undisclosed
- SaaS only</t>
  </si>
  <si>
    <t xml:space="preserve">Closing the loop from requirements to verified findings at enterprise scale</t>
  </si>
  <si>
    <t xml:space="preserve">https://www.convisoappsec.com/conviso-platform</t>
  </si>
  <si>
    <t xml:space="preserve">SaaS (AWS Marketplace listing)</t>
  </si>
  <si>
    <t xml:space="preserve">OWASP ASVS (4.0.2 cited in vendor blog; 5.0 update not confirmed) with CWE mapping; CAPEC-based threat patterns; PCI DSS ASV services</t>
  </si>
  <si>
    <t xml:space="preserve">- Requirements generated from threat modelling (CAPEC x architecture item)
- ASVS-based requirement library
- GraphQL API for requirements and vulnerabilities
- Requirements vs findings compliance reporting
- ASPM vulnerability management
- Continuous Living Threat Modeling with persistent Architecture-as-Code and Automated Requirement Sync (release notes, 23 Mar 2026)
- Custom Project Requirements to tailor security activities per project (release notes, 12 Mar 2026)
- AI Pentest: autonomous runs plus Assisted mode with a human-in-the-loop war room (2 Oct 2026)</t>
  </si>
  <si>
    <t xml:space="preserve">GraphQL API, Jira (platform-level), CI/CD, scanners</t>
  </si>
  <si>
    <t xml:space="preserve">Brazil/LatAm enterprises, financial services (vendor marketing)</t>
  </si>
  <si>
    <t xml:space="preserve">Regional ASPM vendor with rare built-in requirements module</t>
  </si>
  <si>
    <t xml:space="preserve">- ASVS version lag
- Limited English documentation depth
- Pricing undisclosed
- Small footprint outside LatAm</t>
  </si>
  <si>
    <t xml:space="preserve">Subscription (AWS Marketplace private offers)</t>
  </si>
  <si>
    <t xml:space="preserve">LatAm clients wanting ASPM plus requirements in one platform</t>
  </si>
  <si>
    <t xml:space="preserve">2026-10-02: [Feature launch] Conviso Platform release notes add AI Pentest Assisted: a human-in-the-loop 'war room' where a lead analyst monitors AI-driven penetration test runs live, steers them with directives, and must confirm draft findings before they are promoted. Per vendor, it costs the same credits as autonomous runs; this is not a requirements-module change.</t>
  </si>
  <si>
    <t xml:space="preserve">- https://blog.convisoappsec.com/en/automation-of-security-requirements-with-the-conviso-platform-api/
- https://www.convisoappsec.com/conviso-platform
- https://docs.convisoappsec.com/
- https://aws.amazon.com/marketplace/pp/prodview-mzkypegjogyl2</t>
  </si>
  <si>
    <t xml:space="preserve">Threat library with mitigations; requirements/compliance mapping (PCI DSS, SOC 2, NIST, HIPAA) is delivered by exporting the model to SD Elements via Open Threat Model (OTM)</t>
  </si>
  <si>
    <t xml:space="preserve">- Diagram-first collaborative threat modelling
- Agent-generated threats when components are added
- Code Genius: generate canvas from GitHub repositories (enterprise)
- Export to SD Elements (OTM) for prescriptive requirements
- Mitigations pushed to Jira/Azure DevOps with status sync back
- API tokens can be scoped to the User role and admins can issue personal tokens on behalf of users (v2.30.0, 16 Sept 2026)
- Bulk assignment of an attribute across multiple elements (v2.30.0)</t>
  </si>
  <si>
    <t xml:space="preserve">SD Elements, Jira, Azure DevOps, GitHub (Code Genius, PR-triggered updates), MCP clients</t>
  </si>
  <si>
    <t xml:space="preserve">Positioned as the threat-modelling front end of the Security Compass platform</t>
  </si>
  <si>
    <t xml:space="preserve">- Requirements value depends on SD Elements licence
- Community edition scope unclear
- Model and data-handling specifics for agents not documented
- Relationship/acquisition history with Security Compass not stated on vendor site (unverified)</t>
  </si>
  <si>
    <t xml:space="preserve">Subscription; bundled with Security Compass platform</t>
  </si>
  <si>
    <t xml:space="preserve">SD Elements customers wanting a developer-friendly threat model that auto-derives requirements</t>
  </si>
  <si>
    <t xml:space="preserve">- https://www.securitycompass.com/devici/
- https://www.securitycompass.com/sdelements/
- https://www.securitycompass.com/agentic-ai/</t>
  </si>
  <si>
    <t xml:space="preserve">Hybrid (on-prem and SaaS)</t>
  </si>
  <si>
    <t xml:space="preserve">Standards-agnostic requirements management; security standards handled through imported modules (IEC 62443, ISO 21434); no ASVS content</t>
  </si>
  <si>
    <t xml:space="preserve">- Baselines, variants, ReqIF exchange
- Traceability to tests and work items
- Reviews and audit trails
- OSLC integrations
- AI: IBM watsonx requirements quality assistant; Polarion AI assistant (details not verified this session)</t>
  </si>
  <si>
    <t xml:space="preserve">Jira (connectors), OSLC, ReqIF, Git</t>
  </si>
  <si>
    <t xml:space="preserve">Defence, aerospace, automotive, rail</t>
  </si>
  <si>
    <t xml:space="preserve">Established ALM/RM leaders; not AppSec category</t>
  </si>
  <si>
    <t xml:space="preserve">- Vendor pages not fetched this session
- Heavy licensing
- No AppSec libraries
- Slow for agile AppSec teams</t>
  </si>
  <si>
    <t xml:space="preserve">Per user / floating licences</t>
  </si>
  <si>
    <t xml:space="preserve">Safety-critical clients where security requirements must live beside safety requirements</t>
  </si>
  <si>
    <t xml:space="preserve">https://www.ibm.com/products/requirements-management|https://www.sw.siemens.com/en-US/technology/application-lifecycle-management-alm/</t>
  </si>
  <si>
    <t xml:space="preserve">https://www.iriusrisk.com/threat-modeling-platform</t>
  </si>
  <si>
    <t xml:space="preserve">Hybrid (SaaS; on-prem for regulated markets; AWS Marketplace listing)</t>
  </si>
  <si>
    <t xml:space="preserve">Countermeasure and compliance libraries: OWASP ASVS, PCI DSS, NIST 800-53, GDPR, ISO 27001, HIPAA, CWE/CAPEC mappings, OWASP Top 10; component libraries for cloud (AWS/Azure/GCP), Kubernetes, mobile, IoT/OT, AI/LLM components</t>
  </si>
  <si>
    <t xml:space="preserve">- Questionnaire-driven component modelling with rules engine producing threats and countermeasures (the requirements)
- Standards-mapped countermeasure library with regular content updates
- Traceability: countermeasures issued to Jira/Azure DevOps/ServiceNow with bidirectional status sync
- Test/verification mapping via weakness-countermeasure links and scanner imports
- Compliance reporting per standard</t>
  </si>
  <si>
    <t xml:space="preserve">Jira, Azure DevOps, ServiceNow, CI/CD, issue trackers, scanners, OTM import/export, MCP</t>
  </si>
  <si>
    <t xml:space="preserve">Financial services, healthcare, government (per vendor marketing); named references not verified this session</t>
  </si>
  <si>
    <t xml:space="preserve">Leading threat-modelling automation vendor (Gartner Peer Insights category 'Threat Modeling Automation'); strong on countermeasure libraries; combined with ThreatModeler since Jan 2026 to form the largest dedicated threat-modelling vendor</t>
  </si>
  <si>
    <t xml:space="preserve">- Requirements arrive as countermeasures tied to a model; no standalone questionnaire-only requirements mode comparable to SD Elements
- Pricing not public; enterprise tiers opaque
- Jeff availability on-prem case by case; model/data residency undisclosed
- Content tuning of rules and libraries requires skilled admins
- Acquired by ThreatModeler Jan 2026: product consolidation with ThreatModeler Nexus and long-term roadmap for the IriusRisk platform not yet stated publicly</t>
  </si>
  <si>
    <t xml:space="preserve">Free Community Edition; Enterprise subscription (per-tenant/model volume)</t>
  </si>
  <si>
    <t xml:space="preserve">Not publicly disclosed; AWS Marketplace listing exists (private offers)</t>
  </si>
  <si>
    <t xml:space="preserve">Teams that want requirements derived from an architecture-level threat model with strong Jira/ADO round-trip</t>
  </si>
  <si>
    <t xml:space="preserve">- https://www.iriusrisk.com/threat-modeling-platform
- https://www.iriusrisk.com/documentation/use-our-ai-assistant-jeff
- https://www.iriusrisk.com/documentation/countermeasures
- https://aws.amazon.com/marketplace/pp/prodview-lw45ujzidwkf2</t>
  </si>
  <si>
    <t xml:space="preserve">Hybrid (SaaS; self-hosted option)</t>
  </si>
  <si>
    <t xml:space="preserve">Requirements management with templates for ISO 21434, IEC 62443, ISO 26262, DO-178C, FDA; no AppSec-specific library (ASVS must be imported)</t>
  </si>
  <si>
    <t xml:space="preserve">- Live traceability requirements-tests-risks
- Review Center workflows
- Cybersecurity/TARA templates for automotive and medical
- Jama Connect Advisor (requirement-quality AI)
- Jira/Azure DevOps sync</t>
  </si>
  <si>
    <t xml:space="preserve">Jira, Azure DevOps, TestRail, Xray, LDRA, Polarion via ReqIF</t>
  </si>
  <si>
    <t xml:space="preserve">Automotive, medical devices, aerospace, semiconductor</t>
  </si>
  <si>
    <t xml:space="preserve">Leader in engineering requirements management (not AppSec)</t>
  </si>
  <si>
    <t xml:space="preserve">- No AppSec content; vendor site could not be fetched this session (403), details from general knowledge
- Per-user cost high for dev teams
- Overkill for web/API AppSec</t>
  </si>
  <si>
    <t xml:space="preserve">Per user subscription</t>
  </si>
  <si>
    <t xml:space="preserve">Product-security (automotive/medical) clients already regulated by ISO 21434/IEC 62443</t>
  </si>
  <si>
    <t xml:space="preserve">https://www.jamasoftware.com/platform/jama-connect/|https://www.jamasoftware.com/</t>
  </si>
  <si>
    <t xml:space="preserve">https://marketplace.atlassian.com/apps/1212220/requirement-yogi-for-jira</t>
  </si>
  <si>
    <t xml:space="preserve">SaaS / On-prem (Data Center)</t>
  </si>
  <si>
    <t xml:space="preserve">Standards-agnostic; ASVS/NIST can be imported as requirement sets; Xray maps tests to requirements (coverage reports)</t>
  </si>
  <si>
    <t xml:space="preserve">- Requirement keys and traceability matrices in Confluence/Jira (Requirement Yogi)
- Test coverage per requirement (Xray)
- Baselines and change tracking
- Work-item linking in Azure DevOps (native hierarchy, Test Plans)</t>
  </si>
  <si>
    <t xml:space="preserve">Native Jira/ADO ecosystems</t>
  </si>
  <si>
    <t xml:space="preserve">Universal</t>
  </si>
  <si>
    <t xml:space="preserve">Commodity backbone; not a security requirements product</t>
  </si>
  <si>
    <t xml:space="preserve">- No security content or updates
- Traceability must be built manually
- Marketplace pages could not be fetched this session (pricing unverified)</t>
  </si>
  <si>
    <t xml:space="preserve">Per user per month marketplace pricing</t>
  </si>
  <si>
    <t xml:space="preserve">Requirement Yogi and Xray: low single-digit USD per user/month at scale (unverified this session)</t>
  </si>
  <si>
    <t xml:space="preserve">Clients that refuse a new tool and will import ASVS as Jira requirement sets</t>
  </si>
  <si>
    <t xml:space="preserve">https://marketplace.atlassian.com/apps/1212220/requirement-yogi-for-jira|https://www.getxray.app/</t>
  </si>
  <si>
    <t xml:space="preserve">https://www.jit.io/aspm-platform/security-plans</t>
  </si>
  <si>
    <t xml:space="preserve">Plans for OWASP ASVS, OWASP Top 10, SOC 2, AWS FTR, CIS Benchmark (announced); tooling covers SAST, SCA, secrets, IaC, CSPM, containers, SBOM, DAST across GitHub/GitLab repos</t>
  </si>
  <si>
    <t xml:space="preserve">- Pre-built 'Security Plans' mapping a standard (e.g. ASVS) to a toolchain that is activated in one click
- Continuous scanning of all repos and PRs
- Coverage reporting per plan
- Developer-facing findings in PRs
- Agents for triage and remediation (vendor positioning 2025-2026)</t>
  </si>
  <si>
    <t xml:space="preserve">GitHub, GitLab, AWS, Jira, Slack, CI</t>
  </si>
  <si>
    <t xml:space="preserve">Startups and mid-market cloud-native teams; named references not verified</t>
  </si>
  <si>
    <t xml:space="preserve">ASPM/DevSecOps orchestration vendor; 'security plans' are a control-coverage construct rather than requirements management</t>
  </si>
  <si>
    <t xml:space="preserve">- ASVS plan verifies only what scanners can test (a subset of L1); no requirement authoring or traceability to user stories
- No on-prem
- Pricing page could not be fetched this session
- Limited compliance evidence beyond scanner coverage</t>
  </si>
  <si>
    <t xml:space="preserve">Free tier plus per-developer subscription (third-party listings)</t>
  </si>
  <si>
    <t xml:space="preserve">Not verified this session (pricing page blocked); third-party sites list per-developer tiers</t>
  </si>
  <si>
    <t xml:space="preserve">Small cloud-native teams wanting 'ASVS-lite' automated coverage without a requirements program</t>
  </si>
  <si>
    <t xml:space="preserve">- https://www.jit.io/aspm-platform/security-plans
- https://www.jit.io/jit-pricing
- https://appsecsanta.com/jit
- https://www.g2.com/products/jit/reviews</t>
  </si>
  <si>
    <t xml:space="preserve">https://www.invicti.com/</t>
  </si>
  <si>
    <t xml:space="preserve">Hybrid (on-prem historically a Kondukto strength; SaaS)</t>
  </si>
  <si>
    <t xml:space="preserve">Compliance reporting against OWASP Top 10, PCI, NIST (historical Kondukto feature; current Invicti packaging not verified)</t>
  </si>
  <si>
    <t xml:space="preserve">- AST orchestration and normalisation
- AI remediation guidance
- Workflow automation to developers
- Proof-based ASPM with Invicti DAST</t>
  </si>
  <si>
    <t xml:space="preserve">Jira, Azure DevOps, SCM, 100+ scanners</t>
  </si>
  <si>
    <t xml:space="preserve">Mid-tier ASPM absorbed into Invicti</t>
  </si>
  <si>
    <t xml:space="preserve">- Product roadmap post-acquisition unclear; kondukto.io now redirects to invicti.com
- No requirements module
- Pricing undisclosed</t>
  </si>
  <si>
    <t xml:space="preserve">Invicti customers needing orchestration</t>
  </si>
  <si>
    <t xml:space="preserve">https://www.invicti.com/blog/news/invicti-acquires-kondukto-to-deliver-proof-based-aspm|https://www.invicti.com/blog/</t>
  </si>
  <si>
    <t xml:space="preserve">N/A</t>
  </si>
  <si>
    <t xml:space="preserve">Proactive Controls 2024 (C1-C10); 140+ cheat sheets indexed to ASVS, MASVS, Proactive Controls, Top 10; Secure by Design Framework v0.5 (Aug 2025, incubator) with SbD review checklist; AI agent and LLM prompt-injection cheat sheets</t>
  </si>
  <si>
    <t xml:space="preserve">- Ready-to-use control checklists per topic
- ASVS/MASVS index for requirement-to-guidance traceability
- Secure by Design review checklist (Excel) for design-phase reviews
- Offline bundle for air-gapped use</t>
  </si>
  <si>
    <t xml:space="preserve">Markdown/GitHub</t>
  </si>
  <si>
    <t xml:space="preserve">Cheat Sheets and Proactive Controls are Flagship-level references; Secure by Design Framework is a new 2025 incubator project (11 stars)</t>
  </si>
  <si>
    <t xml:space="preserve">- Not machine-actionable as requirements without conversion
- Secure by Design Framework is draft and thinly maintained
- No version control of 'requirement' semantics</t>
  </si>
  <si>
    <t xml:space="preserve">Guidance layer attached to each requirement; design-review checklist source</t>
  </si>
  <si>
    <t xml:space="preserve">- https://cheatsheetseries.owasp.org/
- https://top10proactive.owasp.org/
- https://owasp.org/projects/secure-by-design-framework
- https://github.com/OWASP/www-project-secure-by-design-framework</t>
  </si>
  <si>
    <t xml:space="preserve">https://github.com/OWASP/ASVS</t>
  </si>
  <si>
    <t xml:space="preserve">ASVS 5.0.0 (30 May 2025): 17 chapters, ~350 requirements, L1/L2/L3; mapped by community/OpenCRE to CWE, NIST 800-53, PCI DSS, ISO 27001; Cheat Sheet ASVS index</t>
  </si>
  <si>
    <t xml:space="preserve">- Requirement library in CSV/JSON/XLSX for import into tools
- Three assurance levels (L1 ~20%, L2 cumulative ~70%, L3 100%)
- New standalone chapters: Web Frontend Security (V3), Self-contained Tokens (V9), OAuth/OIDC (V10)
- Community MCP server (Oct 2025) exposing ASVS 5.0 queries and compliance mappings to agents
- Vendor libraries (SD Elements, IriusRisk, SAMMY, Conviso) ingest ASVS</t>
  </si>
  <si>
    <t xml:space="preserve">CSV/JSON export; vendor imports; MCP</t>
  </si>
  <si>
    <t xml:space="preserve">Referenced by PCI SSC secure software guidance, government procurement, most requirement vendors</t>
  </si>
  <si>
    <t xml:space="preserve">Industry reference standard for web/API security requirements</t>
  </si>
  <si>
    <t xml:space="preserve">- Major renumbering means 4.0.3 mappings must be rebuilt
- Not all vendors have shipped 5.0 content
- Levels rebalanced; L1 now lighter, reducing comparability with 4.x audits
- Community MCP servers are unofficial and unmaintained risk</t>
  </si>
  <si>
    <t xml:space="preserve">Free (CC BY-SA 4.0)</t>
  </si>
  <si>
    <t xml:space="preserve">Baseline requirement corpus for every engagement; grounding data for LLM prompts</t>
  </si>
  <si>
    <t xml:space="preserve">- https://github.com/OWASP/ASVS
- https://github.com/OWASP/ASVS/blob/master/5.0/en/0x03-What-is-the-ASVS.md
- https://www.securecodinghub.com/blog/owasp-asvs-4-vs-5-changes-developers
- https://www.cyberchief.ai/2025/10/owasp-asvs-v5-raising-bar-for.html</t>
  </si>
  <si>
    <t xml:space="preserve">MASVS 2.1.0 (18 Jan 2024): 8 control groups (STORAGE, CRYPTO, AUTH, NETWORK, PLATFORM, CODE, RESILIENCE, PRIVACY), 28 controls; MASTG v2.0.0 (30 June 2026, first stable release of the v2 refactor, with tests, demos, techniques and best practices cross-linked to MASVS and MASWE) and MASWE weaknesses; profiles L1/L2/R/P; Android and iOS</t>
  </si>
  <si>
    <t xml:space="preserve">- Requirement-level controls for mobile
- MASTG test cases per control (verification mapping)
- MAS Checklist spreadsheet for traceability
- MASWE weakness catalogue
- CycloneDX support</t>
  </si>
  <si>
    <t xml:space="preserve">Spreadsheet/YAML; vendor libraries (IriusRisk, SD Elements) reference MASVS</t>
  </si>
  <si>
    <t xml:space="preserve">Referenced by Google App Defense Alliance / CASA</t>
  </si>
  <si>
    <t xml:space="preserve">Reference standard for mobile security requirements</t>
  </si>
  <si>
    <t xml:space="preserve">- MASTG v2 refactor reached its first stable release (v2.0.0) only on 30 June 2026
- Only 28 controls; detail lives in MASTG tests
- No official tooling beyond checklist</t>
  </si>
  <si>
    <t xml:space="preserve">Mobile app requirement baselines and pentest scoping</t>
  </si>
  <si>
    <t xml:space="preserve">https://mas.owasp.org/|https://github.com/OWASP/owasp-masvs/releases</t>
  </si>
  <si>
    <t xml:space="preserve">https://owaspsamm.org/</t>
  </si>
  <si>
    <t xml:space="preserve">N/A (SAMMwise self-hosted OSS; Excel/Google toolbox)</t>
  </si>
  <si>
    <t xml:space="preserve">5 business functions, 15 practices incl. Design &gt; Security Requirements (SR) and Verification &gt; Requirements-driven Testing; mappings to NIST SSDF, ISO 27001, BSIMM published; CRA guidance (Feb 2026)</t>
  </si>
  <si>
    <t xml:space="preserve">- Security Requirements practice maturity levels 1-3
- Assessment toolbox (Excel/Google) and SAMMwise self-hosted web tool
- Benchmark data upload and annual Benchmark Report (first May 2025)
- Agile implementation guides and questionnaires (v2.1)
- Skills framework (Feb 2025)</t>
  </si>
  <si>
    <t xml:space="preserve">Excel/CSV; SAMMY and other tools import</t>
  </si>
  <si>
    <t xml:space="preserve">Widely used maturity model; benchmark dataset from community submissions</t>
  </si>
  <si>
    <t xml:space="preserve">OWASP Flagship; model core v2.1.0 released 18 Sep 2024, core v2.2.0 released 6 Jul 2026 (content changes not documented on release page)</t>
  </si>
  <si>
    <t xml:space="preserve">- Assessment-level, not application-level requirements
- Official tooling is spreadsheets plus a basic web tool
- v2.2.0 release notes sparse
- No AI tooling</t>
  </si>
  <si>
    <t xml:space="preserve">Free (CC BY-SA)</t>
  </si>
  <si>
    <t xml:space="preserve">Measuring and roadmapping the client's Security Requirements practice maturity</t>
  </si>
  <si>
    <t xml:space="preserve">- https://owaspsamm.org/model/
- https://github.com/owaspsamm/core/releases/tag/v2.1.0
- https://github.com/owaspsamm/core/releases/tag/v2.2.0
- https://owaspsamm.org/docs/tools/assessment-tools/</t>
  </si>
  <si>
    <t xml:space="preserve">SaaS (hosted on AWS; SOC 2 Type II; AWS Marketplace listing)</t>
  </si>
  <si>
    <t xml:space="preserve">Reviews design docs, PRDs, Jira/Linear tickets, Confluence/Google Drive/OneDrive documents and AI-generated plans against organisational security policies; LLM-based reasoning rather than language-specific rules, so code language support is broad (vendor claim); risk scoring aligned with NIST, CIS, PCI and HITRUST</t>
  </si>
  <si>
    <t xml:space="preserve">- Autonomous security design reviews of architecture, data flows, tickets and design docs before code is written
- Security requirements and guidance injected into planning tools (Jira, Linear, Confluence)
- AI security code review on PRs
- Coding guardrails for AI coding agents (Cursor, Claude Code, Codex)
- Supply chain risk validation against attack paths
- Continuous white-box pentesting from source and architecture
- Self-serve security chat for engineers
- Policy customisation</t>
  </si>
  <si>
    <t xml:space="preserve">GitHub, GitLab, Azure DevOps, Jira, Linear, Confluence, Google Drive, OneDrive, Terraform, Cursor, Claude Code, Codex, MCP, AWS Marketplace</t>
  </si>
  <si>
    <t xml:space="preserve">Named customers on vendor site: ThoughtSpot, PayPal, Oscar, Qualtrics, MX, Redox, Yext; customers report 4-5x review capacity (vendor claim)</t>
  </si>
  <si>
    <t xml:space="preserve">Exited stealth 9 Oct 2024; GA 16 June 2025; Series A of $20M led by Scale Venture Partners announced 9 Dec 2025; Europe 2025 Startup Spotlight award; no analyst placement found</t>
  </si>
  <si>
    <t xml:space="preserve">- Early-stage vendor (Series A)
- No public list pricing; consumption-based model makes cost forecasting harder
- No compliance requirement library comparable to SD Elements or IriusRisk
- Model and data-handling details not disclosed
- SaaS only, on-prem not offered
- Independent validation of design-review accuracy not available</t>
  </si>
  <si>
    <t xml:space="preserve">Consumption-based subscription (vendor states pricing is tied to code volume rather than seats, Sept 2026); AWS Marketplace private offers</t>
  </si>
  <si>
    <t xml:space="preserve">Watchlist; evaluate alongside Seezo</t>
  </si>
  <si>
    <t xml:space="preserve">2026-09-23: [Pricing change] Vendor blog post 'Code Volume Diverged From Headcount. Pricing Must Follow' states Prime prices its product on consumption rather than per seat, arguing seat-based AppSec pricing no longer tracks AI-generated code volume (vendor claim; no list price published).</t>
  </si>
  <si>
    <t xml:space="preserve">- https://www.primesecurity.ai/
- https://news.crunchbase.com/cybersecurity/solid-startup-venture-funding-growth-h1-2026/
- https://www.upstartsmedia.com/p/rising-in-cyber-2026-breakdown</t>
  </si>
  <si>
    <t xml:space="preserve">https://www.remysec.com/</t>
  </si>
  <si>
    <t xml:space="preserve">N/A (product discontinued)</t>
  </si>
  <si>
    <t xml:space="preserve">Design-review triage across design docs; standards not verified</t>
  </si>
  <si>
    <t xml:space="preserve">- Ingests design docs and RFCs to flag security-relevant changes
- Prioritises what needs human review
- Drafts review questions and requirements (reported)</t>
  </si>
  <si>
    <t xml:space="preserve">Google Docs, Confluence, Jira, Slack (reported)</t>
  </si>
  <si>
    <t xml:space="preserve">Defunct: Y Combinator profile marks the company inactive (pivoted to healthcare insurance automation as startremy.com); remysec.com domain serves unrelated gambling content as of 27 Sep 2026</t>
  </si>
  <si>
    <t xml:space="preserve">- Product appears discontinued; vendor inactive per Y Combinator
- Domain remysec.com now serves unrelated gambling affiliate content (possible domain lapse)
- No compliance/traceability features were ever documented</t>
  </si>
  <si>
    <t xml:space="preserve">Not recommended; remove from shortlists</t>
  </si>
  <si>
    <t xml:space="preserve">2026-09-27: [Shutdown] Verified 27 Sep 2026: remysec.com no longer serves the product (it now hosts an unrelated gambling affiliate page) and Y Combinator lists the company as inactive with a pivot to healthcare insurance automation; treat Remy Security as defunct (exact shutdown date not published).</t>
  </si>
  <si>
    <t xml:space="preserve">https://www.remysec.com/|https://www.upstartsmedia.com/p/rising-in-cyber-2026-breakdown</t>
  </si>
  <si>
    <t xml:space="preserve">Regulatory feeds (financial services, ESG/CSRD); maps regulatory requirements to internal policies and controls; not application security</t>
  </si>
  <si>
    <t xml:space="preserve">- Regulatory update monitoring and routing
- Compliance mapping to policies/controls
- No-code workflow digitisation
- Audit trail</t>
  </si>
  <si>
    <t xml:space="preserve">Not itemised</t>
  </si>
  <si>
    <t xml:space="preserve">Financial services compliance teams</t>
  </si>
  <si>
    <t xml:space="preserve">GRC/regulatory change tool; frequently confused with AppSec requirements tools by name</t>
  </si>
  <si>
    <t xml:space="preserve">- No AppSec content
- No Jira developer workflow
- Pricing undisclosed</t>
  </si>
  <si>
    <t xml:space="preserve">Not applicable to AppSec requirements; include only for DORA/CRA regulatory tracking</t>
  </si>
  <si>
    <t xml:space="preserve">Hybrid (SaaS; dedicated/on-prem at Enterprise tier)</t>
  </si>
  <si>
    <t xml:space="preserve">Maturity: OWASP SAMM, DSOMM, NIST SSDF, NIST CSF 2.0, BSIMM 15, ISO 27001:2022, IEC 62443-4-1, EU CRA, NIS2, PCI DSS v4.0.1, CMMC, AIMA. Controls: OWASP ASVS, NIST 800-53, NIST 800-171, ISO 27002, CCM, CIS Controls, Secure Controls Framework</t>
  </si>
  <si>
    <t xml:space="preserve">- Multi-framework maturity assessments and SMART roadmaps
- Control-framework management (ASVS, 800-53) with mappings
- Product risk / threat modelling module
- Supply-chain and CRA compliance tracking
- Jira integration and API (Premium+)
- Group reporting and benchmarks</t>
  </si>
  <si>
    <t xml:space="preserve">Jira, API, MCP</t>
  </si>
  <si>
    <t xml:space="preserve">4,000+ organizations, 10,000+ users (vendor claim); OWASP SAMM sponsor</t>
  </si>
  <si>
    <t xml:space="preserve">Recognised by OWASP SAMM project as third-party assessment tool; niche program-management tool</t>
  </si>
  <si>
    <t xml:space="preserve">- Not a per-application requirements generator; ASVS handled as control checklist
- Free tier limited to 3 users/1 product
- No scanner/verification integration
- Jira only at paid tiers</t>
  </si>
  <si>
    <t xml:space="preserve">Per user per month; Free/Premium/Pro/Enterprise</t>
  </si>
  <si>
    <t xml:space="preserve">Free; Premium $25/user/mo; Pro from $65/user/mo (annual); Enterprise from $95/user/mo (min 5 users)</t>
  </si>
  <si>
    <t xml:space="preserve">AppSec program owners running SAMM/DSOMM/CRA maturity and tracking control-framework coverage cheaply</t>
  </si>
  <si>
    <t xml:space="preserve">- https://sammy.codific.com/
- https://sammy.codific.com/pricing
- https://owaspsamm.org/docs/tools/assessment-tools/</t>
  </si>
  <si>
    <t xml:space="preserve">Hybrid (SaaS standard; on-site/on-prem deployment offered for US and Canadian federal editions)</t>
  </si>
  <si>
    <t xml:space="preserve">8,000+ requirements mapped to 100+ frameworks: PCI DSS, NIST 800-53, ISO 27001, SOC 2, HIPAA, NIST SSDF, NIST CSF 2.0 (compliance reports added Aug 2026), OWASP ASVS 5.0 (content for all three levels added in release 2026.8.2, 29 Aug 2026), OWASP Top 10 (2025), CWE, GDPR, EU CRA (countermeasures and weaknesses expanded in 2026.8.2), ANSI/ISA 62443 (four regulations added Aug 2026), NIST SP 800-218A and OWASP Agentic Skills Top 10 (AI content), MITRE EMB3D (threat library), Australian ISM, BSI, FDA, HDS, SAP security baseline (ABAP, Java, HANA, BTP). Tech stacks: survey-driven profiles covering web, mobile, cloud (AWS/Azure/GCP), containers, APIs, embedded, hardware/firmware, SaaS/COTS, AI/ML systems</t>
  </si>
  <si>
    <t xml:space="preserve">- Survey/questionnaire-driven requirement generation from application profile and architecture
- Deterministic requirements engine with 8,000+ requirements and fortnightly content updates
- Traceability: push requirements as tasks to Jira (incl. OAuth and comment sync), Azure DevOps, GitHub, GitLab with status sync
- Verification mapping: SAST/DAST validation incl. ZeroPath AI SAST and CI hooks (Jenkins, GitHub Actions, GitLab CI); scan report uploads accept listed file types up to a 16 MB default limit (documented in 2026.10.1)
- Agentic AI Workflow: MCP tools and workflow prompts (survey, generate, apply, verify staged handoff; skill-file generation; Devici threat model sync) enabled by default since 2026.8.2
- MCP server OAuth sign-in: SaaS administrators can enable OAuth for the MCP server and users connect Claude Code, GitHub Copilot in VS Code and ChatGPT Codex with OAuth (release 2026.10.1, no calendar date published)
- Import of Devici threat models as project-specific countermeasures (since 2026.6.1)
- Compliance reporting and audit-ready evidence (vendor claims 50-70% audit-prep reduction)
- Just-in-Time Training (JITT) attached to requirements</t>
  </si>
  <si>
    <t xml:space="preserve">Jira, Azure DevOps, GitHub, GitLab, ServiceNow, Jenkins, GitHub Actions, GitLab CI, REST API, MCP server (Claude Code, GitHub Copilot, ChatGPT Codex, Cursor; OAuth sign-in since 2026.10.1), ZeroPath and other SAST, Devici threat modelling (OTM)</t>
  </si>
  <si>
    <t xml:space="preserve">Financial services (top-3 North American bank case study: 51% fewer findings in new apps), US and Canadian federal government (dedicated editions), regulated enterprises; 'hundreds of development teams'</t>
  </si>
  <si>
    <t xml:space="preserve">De facto category leader for security requirements management; no dedicated Gartner MQ for this category. Listed as Gartner Peer Insights reviewed; analyst rankings for this niche not available</t>
  </si>
  <si>
    <t xml:space="preserve">- Enterprise-only pricing (from ~$75K/yr) excludes small teams
- Survey overhead and content tuning effort; requirement volume can overwhelm developers without careful profile scoping
- Navigator model, hosting and data-retention details not public; BYO-LLM not documented
- Agentic AI Workflow is a paid add-on; MCP tools now on by default so admins must govern agent access
- On-prem outside federal editions is by request</t>
  </si>
  <si>
    <t xml:space="preserve">Annual subscription per organization, volume discounts; add-ons for Agentic AI Workflow, JITT, Premium Support</t>
  </si>
  <si>
    <t xml:space="preserve">Enterprise 'starting at $75K annually' (vendor pricing page, North America); federal editions custom</t>
  </si>
  <si>
    <t xml:space="preserve">Large regulated enterprises needing auditable, deterministic requirements pushed into Jira/ADO with compliance evidence; organizations governing AI coding agents with a policy layer</t>
  </si>
  <si>
    <t xml:space="preserve">- https://www.securitycompass.com/sdelements/
- https://www.securitycompass.com/sdelements/pricing/
- https://docs.sdelements.com/master/guide/docs/whatsnew.html
- https://www.helpnetsecurity.com/2026/02/20/security-compass-sd-elements-for-agentic-ai-workflow/
- https://www.businesswire.com/news/home/20240710201204/en/Security-Compass-Expands-Industry-Leading-AI-Security-Content-and-Introduces-AI-Powered-Navigator-Beta
- https://www.securitycompass.com/sdelements/navigator/</t>
  </si>
  <si>
    <t xml:space="preserve">https://www.securecodewarrior.com/product/ai-software-governance</t>
  </si>
  <si>
    <t xml:space="preserve">Training mapped to OWASP Top 10 (2025 content published), CWE, PCI DSS, NIST; 60+ languages/frameworks; AI/LLM secure coding; no ASVS requirement library</t>
  </si>
  <si>
    <t xml:space="preserve">- Just-in-time secure coding training aligned to findings
- Trust Agent: commit-level AI-tool usage observability and policy enforcement (Sept 2025; Trust Agent: AI March 2026)
- AI Trust Index benchmarking LLM security performance
- AI threat modelling from IDE using feature requirements and code (webinar Nov 2025)
- Adaptive learning driven by real repo risk</t>
  </si>
  <si>
    <t xml:space="preserve">GitHub, GitLab, Bitbucket, Azure DevOps, Jira, SAST vendors, IDEs, SSO</t>
  </si>
  <si>
    <t xml:space="preserve">Financial services, technology; broad enterprise base (named references not verified)</t>
  </si>
  <si>
    <t xml:space="preserve">Leader in developer security training; moving into AI code governance; not a requirements-management vendor</t>
  </si>
  <si>
    <t xml:space="preserve">- No requirement library or traceability to Jira epics
- Threat modelling output not mapped to ASVS-style requirement IDs publicly
- Pricing undisclosed
- Product naming (Threat Canvas) not verifiable on public site</t>
  </si>
  <si>
    <t xml:space="preserve">Per-developer annual subscription</t>
  </si>
  <si>
    <t xml:space="preserve">Pairing a requirements tool with JIT training and AI code-provenance governance</t>
  </si>
  <si>
    <t xml:space="preserve">- https://www.securecodewarrior.com/
- https://www.helpnetsecurity.com/2026/03/17/secure-code-warrior-trust-agent-ai-governance/
- https://www.helpnetsecurity.com/2025/09/25/secure-code-warrior-trust-agent-ai/
- https://www.securecodewarrior.com/events-webinars/threat-modelling-with-ai-turning-every-developer-into-a-threat-modeler</t>
  </si>
  <si>
    <t xml:space="preserve">Custom organisational standards; maps findings to security requirements with explainable decision trees; standards list (ASVS etc.) not itemised on site; ISO 27001 and SOC 2 certified vendor</t>
  </si>
  <si>
    <t xml:space="preserve">- Automated security design review from design docs/tickets in minutes
- Threat model with actors, data flows, trust boundaries, attack paths
- Security requirements delivered to Jira/Linear/Slack/Confluence/Notion
- Custom rules, terminology and remediation guidance
- Coding-agent delivery (Claude, Cursor)</t>
  </si>
  <si>
    <t xml:space="preserve">Slack, Jira, GitHub, Google Docs, Confluence, Linear, Notion, Claude, Cursor (15+)</t>
  </si>
  <si>
    <t xml:space="preserve">Ascot Group (insurance), Razorpay (fintech), Sidekick Security (consulting)</t>
  </si>
  <si>
    <t xml:space="preserve">Early-stage new entrant (founded ~2024, India/US); funding amount not disclosed on site</t>
  </si>
  <si>
    <t xml:space="preserve">- Young vendor, small team
- No on-prem
- Standards coverage and ASVS 5.0 mapping not documented
- No compliance evidence reporting described
- Dependence on third-party LLM</t>
  </si>
  <si>
    <t xml:space="preserve">Subscription (contact sales)</t>
  </si>
  <si>
    <t xml:space="preserve">Product teams wanting design-stage requirements without a heavy platform; pilots</t>
  </si>
  <si>
    <t xml:space="preserve">https://seezo.io/|https://www.securitycompass.com/agentic-ai/</t>
  </si>
  <si>
    <t xml:space="preserve">https://www.threatmodeler.ai/platform</t>
  </si>
  <si>
    <t xml:space="preserve">SaaS (on-prem historically offered; FedRAMP Moderate authorization achieved via Knox Systems partnership, announced 16 Sept 2026)</t>
  </si>
  <si>
    <t xml:space="preserve">3,500+ security requirements, 1,500+ threats, 3,000+ components, 180+ compliance frameworks incl. NIST, ISO 27001, PCI DSS, HIPAA, DORA, EU AI Act; methodologies STRIDE, PASTA, CSA MAESTRO; app, cloud/hybrid, OT, automotive, medical devices</t>
  </si>
  <si>
    <t xml:space="preserve">- Secure Design Graph as single source of truth for components-threats-controls-compliance
- Requirements/controls generated from model and exported to ticketing
- Multi-agent automation (System Mapping, Graph, Reporting agents)
- Audit-ready compliance reporting
- Integrations with diagram/EA tools, CI/CD, cloud</t>
  </si>
  <si>
    <t xml:space="preserve">Ticketing (Jira, ADO), diagram and EA tools, CI/CD, cloud platforms (AWS/Azure/GCP), IDEs, MCP</t>
  </si>
  <si>
    <t xml:space="preserve">Global financial services firm at scale (50% threat-modelling effort reduction claim); US federal agencies via FedRAMP Moderate authorization (Sept 2026)</t>
  </si>
  <si>
    <t xml:space="preserve">Established threat-modelling automation vendor; Nexus is a 2026 repositioning as agentic secure design platform; acquired IriusRisk in Jan 2026 (Invictus Growth Partners majority owner), making the combined company the category leader in threat-modelling automation</t>
  </si>
  <si>
    <t xml:space="preserve">- Requirements are a by-product of threat models; weak fit for questionnaire-only requirement programs
- Pricing undisclosed
- Rebrand to threatmodeler.ai in 2026 creates documentation churn
- Independent validation of agent accuracy not available</t>
  </si>
  <si>
    <t xml:space="preserve">Enterprises with cloud/OT/product-security scope wanting requirements bound to a governed design graph</t>
  </si>
  <si>
    <t xml:space="preserve">2026-09-16: [Feature launch] ThreatModeler Nexus achieved FedRAMP Moderate Authorization through a partnership with Knox Systems, letting US federal agencies run the threat modelling and security requirements platform in environments handling controlled unclassified information.</t>
  </si>
  <si>
    <t xml:space="preserve">- https://www.threatmodeler.ai/platform
- https://www.helpnetsecurity.com/2026/06/26/threatmodeler-introduces-nexus-to-automate-threat-modeling-with-ai-governance/
- https://www.threatmodeler.ai/resources/white-paper/2026-buyers-guide</t>
  </si>
  <si>
    <t xml:space="preserve">Policy-based governance of findings; compliance mapping not itemised publicly</t>
  </si>
  <si>
    <t xml:space="preserve">- Findings aggregation and ownership
- Policy engine with SLAs
- Risk scoring
- Developer workflows</t>
  </si>
  <si>
    <t xml:space="preserve">Jira, SCM, scanners</t>
  </si>
  <si>
    <t xml:space="preserve">Acquired by Checkmarx (press release 9 Dec 2025); Tromzo reasoning engine is being folded into Checkmarx One and the Checkmarx Assist agent family rather than continuing as a standalone product</t>
  </si>
  <si>
    <t xml:space="preserve">- Acquired by Checkmarx Dec 2025; standalone product being absorbed into Checkmarx One and Checkmarx Assist agents
- No requirements features
- No standalone public docs reachable (tromzo.com redirects to checkmarx.com)</t>
  </si>
  <si>
    <t xml:space="preserve">Unknown</t>
  </si>
  <si>
    <t xml:space="preserve">Existing Checkmarx One customers; not a standalone option any more</t>
  </si>
  <si>
    <t xml:space="preserve">https://www.tromzo.com/|https://checkmarx.com/company/press-releases/</t>
  </si>
  <si>
    <t xml:space="preserve">SaaS / On-prem (GitLab self-managed, Dedicated)</t>
  </si>
  <si>
    <t xml:space="preserve">GitLab: scan execution and merge request approval policies (policy-as-code), compliance frameworks; Snyk Learn: lessons aligned to NIST NICE, CWE-based topics, product training</t>
  </si>
  <si>
    <t xml:space="preserve">- Policy-as-code enforcement of scanners in pipelines
- Compliance frameworks and pipelines (Ultimate); compliance framework requirements with five controls can be edited (19.5)
- Vulnerability management in MR; MR security report comparison covers up to 1,000 findings per severity (19.5)
- GitLab Duo vulnerability explanation/resolution; AI flows run on tracked non-default branches (19.5)
- Automated triage and remediation profiles applied across groups and projects, bulk due-date API and group-level scanner coverage inventory (19.4, Sep 2026)
- Vulnerability tracking on up to three non-default branches or tags, GA (19.5, Oct 2026)
- Customisable SAST and Secret Detection configuration profiles in the UI (19.5)
- Business Logic Security Analyzer for authorization flaws, closed beta on GitLab.com (19.5)
- GitLab Secrets Manager GA, OpenBao-based (19.5)
- Vulnerability tools exposed through the GitLab MCP Server for agents (19.4); MCP Server GA with toolset selection (19.5)
- Snyk Learn just-in-time lessons tied to Snyk findings</t>
  </si>
  <si>
    <t xml:space="preserve">Jira, GitLab issues, Snyk platform</t>
  </si>
  <si>
    <t xml:space="preserve">Adjacent: enforcement and training, not requirement authoring</t>
  </si>
  <si>
    <t xml:space="preserve">- No requirement library
- Policies verify scanners, not design requirements
- Snyk Learn has no OWASP Top 10 mapping stated on site</t>
  </si>
  <si>
    <t xml:space="preserve">GitLab Ultimate per user; Snyk Learn free</t>
  </si>
  <si>
    <t xml:space="preserve">GitLab Ultimate list ~$99/user/month (unverified this session); Snyk Learn $0</t>
  </si>
  <si>
    <t xml:space="preserve">Enforcing verification of requirements in CI and training developers</t>
  </si>
  <si>
    <t xml:space="preserve">2026-10-15: [Release] GitLab 19.5 makes the GitLab MCP Server GA on all tiers with admin and user toolset selection and GitLab.com rate limits (60 requests per minute Free, 600 Premium and Ultimate), ships GitLab Secrets Manager GA (OpenBao-based, Premium and Ultimate), and for Ultimate adds GA vulnerability tracking on up to three non-default branches, customisable SAST and Secret Detection configuration profiles, AI flows (SAST false positive detection and vulnerability resolution) on tracked branches, merge request security report comparison of up to 1,000 findings per severity, and a closed beta Business Logic Security Analyzer (GitLab.com only, consumes GitLab Credits). Externally Connected Agents can be joined to AI Governance audit events in beta; no security-requirements feature is included.
2026-09-17: [Release] GitLab 19.4 (Ultimate) adds vulnerability tools to the GitLab MCP Server so agents can list and manage findings, automated triage and remediation profiles applied across groups via GraphQL, a bulk vulnerability due-date API, group-level aggregated scanner coverage, Vulnerability Context Flow triage context, and beta organization security dashboards and malicious package detection.</t>
  </si>
  <si>
    <t xml:space="preserve">https://docs.gitlab.com/user/application_security/|https://learn.snyk.io/</t>
  </si>
  <si>
    <t xml:space="preserve">Hybrid (SaaS APIs or on-prem/air-gap with local models)</t>
  </si>
  <si>
    <t xml:space="preserve">Any standard loaded as context: ASVS 5.0, MASVS, NIST 800-53, PCI DSS 4.0, ISO 27001, EU CRA, DORA, OWASP Top 10 2025, LLM Top 10 2025; any tech stack</t>
  </si>
  <si>
    <t xml:space="preserve">- Generate security acceptance criteria per user story
- Map story to ASVS IDs with rationale
- Draft abuse cases and test cases
- Bulk processing via Jira/ADO APIs
- Community ASVS MCP server for agent grounding</t>
  </si>
  <si>
    <t xml:space="preserve">Anything with an API</t>
  </si>
  <si>
    <t xml:space="preserve">Widespread internal experimentation; no reference customers</t>
  </si>
  <si>
    <t xml:space="preserve">Fast-growing practice; increasingly absorbed by vendors (SD Elements MCP, Devici MCP, Seezo)</t>
  </si>
  <si>
    <t xml:space="preserve">- Hallucinated or stale requirement IDs (ASVS renumbering)
- No deterministic audit trail unless engineered
- Data-residency and prompt leakage risk on SaaS models
- Requires expert review; no content updates
- No traceability without custom tooling</t>
  </si>
  <si>
    <t xml:space="preserve">Token/seat pricing of chosen LLM plus build effort</t>
  </si>
  <si>
    <t xml:space="preserve">Copilot Business ~$19/user/mo; Claude/ChatGPT team plans ~$25-30/user/mo; API usage variable</t>
  </si>
  <si>
    <t xml:space="preserve">Pilots, internal accelerators, and augmenting a deterministic tool; not as system of record</t>
  </si>
  <si>
    <t xml:space="preserve">- https://github.com/OWASP/ASVS
- https://medium.com/@clintcan/building-an-owasp-asvs-mcp-server-eb56ace0ceb8
- https://cheatsheetseries.owasp.org/</t>
  </si>
  <si>
    <t xml:space="preserve">SaaS (hosted) / self-host</t>
  </si>
  <si>
    <t xml:space="preserve">Links ASVS, CWE, CAPEC, NIST 800-53, NIST SSDF, ISO 27001, PCI DSS, Cheat Sheets, Proactive Controls, SAMM, Top 10 via Common Requirement Enumeration</t>
  </si>
  <si>
    <t xml:space="preserve">- Cross-standard requirement mapping graph
- Search by standard ID to find equivalents in other standards
- OpenCRE Chat: AI answers grounded in linked standards
- Open data for import into requirement tools</t>
  </si>
  <si>
    <t xml:space="preserve">Web, API, data export</t>
  </si>
  <si>
    <t xml:space="preserve">Used by OWASP AI Exchange for standards liaison</t>
  </si>
  <si>
    <t xml:space="preserve">OWASP project; best free cross-walk engine</t>
  </si>
  <si>
    <t xml:space="preserve">- Mapping coverage uneven
- Chat quality undocumented
- No workflow or Jira features</t>
  </si>
  <si>
    <t xml:space="preserve">Building crosswalks (ASVS 5.0 to 800-53/PCI/CRA) for a requirements library</t>
  </si>
  <si>
    <t xml:space="preserve">https://www.opencre.org/|https://owaspai.org/docs/ai_security_overview/</t>
  </si>
  <si>
    <t xml:space="preserve">https://dsomm.owasp.org/</t>
  </si>
  <si>
    <t xml:space="preserve">On-prem (Docker) or hosted demo</t>
  </si>
  <si>
    <t xml:space="preserve">DevSecOps activities across dimensions with mappings to SAMM, ISO 27001, ASVS; team/application level evidence</t>
  </si>
  <si>
    <t xml:space="preserve">- Interactive maturity matrix with implementation levels
- Evidence capture per activity for audits
- Mappings to SAMM/ISO 27001/ASVS
- Team and application custom meta.yaml
- Excel export; v4.x releases through 2026 (v4.6.0, 9 Jun 2026)</t>
  </si>
  <si>
    <t xml:space="preserve">Docker, YAML data repo, Excel</t>
  </si>
  <si>
    <t xml:space="preserve">Community use; not published</t>
  </si>
  <si>
    <t xml:space="preserve">Active OWASP project (v4.0 Jan 2026, frequent releases)</t>
  </si>
  <si>
    <t xml:space="preserve">- Pipeline-maturity focus, not per-app requirements
- Single-team scale UI
- No ticketing integration</t>
  </si>
  <si>
    <t xml:space="preserve">Tracking DevSecOps activity maturity alongside SAMM</t>
  </si>
  <si>
    <t xml:space="preserve">- https://dsomm.owasp.org/
- https://github.com/devsecopsmaturitymodel/DevSecOps-MaturityModel
- https://github.com/devsecopsmaturitymodel/DevSecOps-MaturityModel/releases</t>
  </si>
  <si>
    <t xml:space="preserve">https://securityrat.org/</t>
  </si>
  <si>
    <t xml:space="preserve">On-prem (Docker Compose; self-hosted Java/JS app)</t>
  </si>
  <si>
    <t xml:space="preserve">OWASP ASVS (4.x requirement sets, 14 chapters, 280+ requirements); custom requirement sets importable; ASVS 5.0 set not confirmed</t>
  </si>
  <si>
    <t xml:space="preserve">- Questionnaire (chapter, level, SSO type) driven requirement set generation
- Requirement storage and status tracking
- Batch Jira ticket creation with YAML state
- Custom requirement sets
- SecurityCAT (compliance automation) PoC</t>
  </si>
  <si>
    <t xml:space="preserve">Jira (server-oriented), CSV/YAML export</t>
  </si>
  <si>
    <t xml:space="preserve">Originated at an automotive OEM AppSec team; users not published</t>
  </si>
  <si>
    <t xml:space="preserve">OWASP Incubator project (DevGuide notes possible Lab promotion); low activity: v1 repo last updated Aug 2025, v2 microservices last updated 2022, docker-compose repo Feb 2026</t>
  </si>
  <si>
    <t xml:space="preserve">- Effectively maintenance-mode; v2 rewrite stalled since 2022
- ASVS 5.0 content not shipped
- Jira Cloud support limited
- No AI, no compliance reporting
- Small community (191 stars)</t>
  </si>
  <si>
    <t xml:space="preserve">Teams needing a free ASVS-to-Jira requirement generator and willing to maintain it themselves</t>
  </si>
  <si>
    <t xml:space="preserve">- https://github.com/SecurityRAT
- https://github.com/SecurityRAT/SecurityRAT
- https://devguide.owasp.org/en/03-requirements/04-security-rat/</t>
  </si>
  <si>
    <t xml:space="preserve">Platforms &amp; ASPM: tool landscape</t>
  </si>
  <si>
    <t xml:space="preserve">43 tools. Research cut-off 2026-10-19. Vendor-claimed items are labelled; unverified items say so. See OWASP Projects and Market Notes sheets for this category.</t>
  </si>
  <si>
    <t xml:space="preserve">SaaS (EU/US regions); on-prem scanning available on Pro and Advanced plans; broker for internal apps on Advanced; FedRAMP ATO and FIPS images on Advanced; Aikido Machine GPU appliance running the open-weight Altar model for fully air-gapped autonomous pentesting and AI code review (Sept 2026)</t>
  </si>
  <si>
    <t xml:space="preserve">Modules: SAST, SCA, secrets, IaC, container, DAST (surface monitoring, API), SBOM, CSPM, VM scanning, malware in dependencies, license, ASPM-lite (unified dashboard, dedup, AutoTriage), autofix (AI AutoFix PRs), in-app firewall/runtime protection (Zen). Language breadth: mainstream languages (mostly open-source engines under the hood with proprietary triage)</t>
  </si>
  <si>
    <t xml:space="preserve">- All-in-one scanner bundle at transparent published pricing
- AutoTriage reduces false positives; AI AutoFix opens PRs
- Free Developer tier; 150,000+ organisations (vendor claim, Sept 2026)
- Pentest marketplace and continuous offensive testing add-on (Aikido Attack)
- Altar open-weight security model and Aikido Machine for sovereign, air-gapped AI security workloads (Sept 2026)
- On-prem scanning, FedRAMP and FIPS options at higher tiers
- AWS Security Competency (Application Security) and AWS/Azure Marketplace procurement</t>
  </si>
  <si>
    <t xml:space="preserve">GitHub, GitLab, Bitbucket, Azure DevOps, Jira, Linear, Slack, AWS/Azure/GCP, Drata/Vanta compliance, container registries, Deel (partnership, Sept 2026, per vendor)</t>
  </si>
  <si>
    <t xml:space="preserve">SMB to mid-market SaaS, scale-ups; some enterprise; logos not verified</t>
  </si>
  <si>
    <t xml:space="preserve">- Gartner Market Guide ASPM: not verified
- Not rated in MQ AST, MQ SSCS, Forrester SAST
- GigaOm: not verified</t>
  </si>
  <si>
    <t xml:space="preserve">- Scanner depth is bounded by underlying open-source engines (Semgrep/Trivy/etc.) for enterprise-grade SAST
- Third-party scanner ingestion is limited (not an aggregator)
- Enterprise governance, RBAC and reporting less mature than incumbents
- Repo/user caps per tier push large estates to Enterprise custom pricing
- On-prem AI (Altar) needs a 4x H200 GPU node and a pruned Chinese-origin base model (GLM-5.3) with ~8% recall loss vs the parent, which some regulated buyers will need to assess
- Young vendor; rapid feature expansion may outrun stability</t>
  </si>
  <si>
    <t xml:space="preserve">Published tiers: Developer free (2 users, 10 repos); Basic $300/month; Pro $600/month; Advanced $600+/month; Enterprise custom; 10% annual discount</t>
  </si>
  <si>
    <t xml:space="preserve">$3,600 to $7,200+ per year for teams of 10-50; Enterprise custom</t>
  </si>
  <si>
    <t xml:space="preserve">Mid-market and scale-up clients wanting broad coverage fast at predictable cost, or as a low-cost baseline for smaller client engagements</t>
  </si>
  <si>
    <t xml:space="preserve">2026-09-23: [Feature launch] Aikido announced a partnership with Deel: per vendor, companies set up Aikido once through Deel and security coverage across code, cloud and devices is applied automatically for each new hire.
2026-09-21: [Feature launch] Aikido released Altar (Altar-1), an open-weight security model pruned from GLM-5.3 to 328 GB (runs on a 4x H200 node with vLLM, weights on Hugging Face) that powers Aikido Machine, Aikido Attack, Code Security Audit and Deep PR Review fully on-prem/air-gapped; internal CVE benchmark 60.4% recall vs 65.6% for the parent model.
2026-09-17: [Feature launch] Aikido achieved AWS Security Competency in the Application Security category, adding to AWS Marketplace availability and EC2/ECR/Lambda/CloudFormation integrations; vendor now claims 150,000+ organisations.</t>
  </si>
  <si>
    <t xml:space="preserve">- https://www.aikido.dev/pricing
- https://appsecsanta.com/aspm-tools</t>
  </si>
  <si>
    <t xml:space="preserve">SaaS (unverified; vendor page not fetched this session)</t>
  </si>
  <si>
    <t xml:space="preserve">Modules (reported): AI autofix and triage layered on existing SAST/SCA/secrets scanners; PR-native; no native scanners; no ASPM</t>
  </si>
  <si>
    <t xml:space="preserve">- Vendor-neutral fix generation similar to Mobb/Pixee
- Developer-first PR experience
- Early-stage funding (2024-2025, reported)</t>
  </si>
  <si>
    <t xml:space="preserve">GitHub, GitLab, common SAST/SCA tools (reported)</t>
  </si>
  <si>
    <t xml:space="preserve">- Unverified this session
- Crowded autofix niche being absorbed by platforms
- Small vendor</t>
  </si>
  <si>
    <t xml:space="preserve">Watch-list only</t>
  </si>
  <si>
    <t xml:space="preserve">SaaS; private/hybrid deployment options for large enterprises reported but not verified</t>
  </si>
  <si>
    <t xml:space="preserve">Modules: SAST (AI-powered, native), SCA, secrets, IaC, API security analysis, CI/CD pipeline discovery, SBOM and AI-BOM, ASPM correlation (open graph-based risk engine for 1st and 3rd-party tools), autofix (AutoFix Agent), AI threat modelling. DAST: via ingestion. Language breadth: Deep Code Analysis across mainstream languages (list not verified)</t>
  </si>
  <si>
    <t xml:space="preserve">- Deep Code Analysis builds a software architecture and risk graph (APIs, data, crypto, dependencies, pipelines)
- Material-change detection and business-impact prioritisation
- Guardian Agent protects any coding agent (local/cloud) at the intent/code/supply-chain level
- AI Threat Modeling at design phase
- Correlates 1st and 3rd-party findings; unified dashboards, compliance reporting
- AutoFix free for open-source maintainers</t>
  </si>
  <si>
    <t xml:space="preserve">GitHub, GitLab, Azure DevOps, Bitbucket, Jenkins, Jira, ServiceNow, Slack, cloud providers, major SAST/SCA/DAST/cloud scanners for ingestion</t>
  </si>
  <si>
    <t xml:space="preserve">BlackRock, CVS, Walmart, USAA, Shell (vendor site); financial services, retail, energy</t>
  </si>
  <si>
    <t xml:space="preserve">- Gartner MQ SSCS June 2026: Leader (per Apiiro site; not independently verified)
- Gartner Market Guide ASPM: representative vendor
- GigaOm Radar ASPM: Leader (reported; unverified)
- Gartner MQ AST: not included
- Forrester: not rated</t>
  </si>
  <si>
    <t xml:space="preserve">- Heavy setup and integration effort; considered overkill below ~200 developers
- Enterprise-only pricing
- SaaS-first; on-prem/air-gap not documented
- Native scanners are secondary to the risk graph, so many clients still run another SAST
- Private, VC-backed: acquisition risk in a consolidating market</t>
  </si>
  <si>
    <t xml:space="preserve">Enterprise subscription (contact sales), typically per developer/repo</t>
  </si>
  <si>
    <t xml:space="preserve">Large enterprises wanting deep code-to-runtime risk context, design-time threat modelling and governance over AI coding agents</t>
  </si>
  <si>
    <t xml:space="preserve">2026-09-24: [Feature launch] Apiiro integrated Anthropic's Claude Compliance API into the Apiiro Software Graph to extend it into a unified AI Bill of Materials covering AI coding agents and supply chain risk (post title and summary verified from the Apiiro blog index; the post body could not be fetched).</t>
  </si>
  <si>
    <t xml:space="preserve">- https://apiiro.com/
- https://guptadeepak.com/tools/top-5-aspm-platforms-2026/
- https://appsecsanta.com/aspm-tools</t>
  </si>
  <si>
    <t xml:space="preserve">SaaS / self-hosted / private cloud / air-gap supported (vendor site)</t>
  </si>
  <si>
    <t xml:space="preserve">Modules: AI SAST, API security testing, autonomous pentesting, business-logic validation, semantic runtime validation, vulnerability management with Application Context Graph, cloud and AI-system testing. SCA/secrets: partial. ASPM: light (context graph). Autofix: triage and remediation via agents. Language breadth: API/runtime language-agnostic; SAST mainstream</t>
  </si>
  <si>
    <t xml:space="preserve">- Red, blue and purple agents acting from shared context
- Application Context Graph linking code, APIs, identities, workflows, runtime paths, ownership
- Semantic runtime validation of exploitability
- Air-gapped deployment option (rare for AI-native start-ups)
- Addresses EU CRA, UK TSA, secure-by-design
- SOC 2 Type II; 3x Global InfoSec Awards RSAC 2026</t>
  </si>
  <si>
    <t xml:space="preserve">GitHub, GitLab, Jira, ServiceNow, SSO</t>
  </si>
  <si>
    <t xml:space="preserve">- Small vendor with broad claims; limited public validation
- Enterprise reference base not visible
- Overlap with DAST/API vendors
- Pricing opaque
- Roadmap breadth may exceed delivery capacity</t>
  </si>
  <si>
    <t xml:space="preserve">API-centric or air-gapped clients piloting agentic testing with exploit validation</t>
  </si>
  <si>
    <t xml:space="preserve">SaaS (with on-prem connector/agent for private tools); dedicated/private deployment options not publicly documented</t>
  </si>
  <si>
    <t xml:space="preserve">Modules: ASPM correlation is the core (aggregator, no proprietary scanners); ingests SAST, SCA, secrets, IaC, container, DAST, API, cloud, infra, pentest and bug-bounty findings from 400+ sources; SBOM ingestion and management; autofix via Anya Remediation Helper/Patch Orchestrator (workflow-driven, fix generation scope unverified). Language breadth: n/a (scanner-agnostic)</t>
  </si>
  <si>
    <t xml:space="preserve">- 400+ integrations, 400B+ findings processed annually (vendor figures)
- Correlation, dedup, normalisation and risk scoring by asset criticality/exploitability
- Anya: eight named agent roles (Security Analyst, Vulnerability Researcher, Risk Analyzer, Remediation Helper, Executive Reporter, Zero-Day Hunter, Mitigation Engineer, Patch Orchestrator)
- Remediation workflow automation, SLA tracking, ticketing sync
- Expanded beyond AppSec to unified exposure management (infra, cloud, supply chain, AI risk)
- Executive and compliance reporting</t>
  </si>
  <si>
    <t xml:space="preserve">400+ including all major SAST/SCA/DAST/cloud/infra scanners, GitHub, GitLab, Jira, ServiceNow, Slack, Wiz, Prisma, Qualys, Tenable, CrowdStrike, bug-bounty platforms</t>
  </si>
  <si>
    <t xml:space="preserve">Fortune 1000 across technology, finance, insurance, healthcare, manufacturing, retail (vendor statement); 300k+ developers supported</t>
  </si>
  <si>
    <t xml:space="preserve">- Gartner Market Guide ASPM: representative vendor
- GigaOm Radar ASPM 2025: Leader (reported; not verified this session)
- Gartner MQ AST / MQ SSCS: not included
- Forrester: not rated</t>
  </si>
  <si>
    <t xml:space="preserve">- Aggregator-only: outcome quality is bounded by upstream scanners the client already licenses
- Onboarding is data-engineering heavy (mapping, normalisation) and often needs professional services
- Pricing scales with assets/findings and can surprise at enterprise scale
- Broadening into exposure management dilutes AppSec focus
- Private company; acquisition by a CNAPP/SIEM vendor is plausible</t>
  </si>
  <si>
    <t xml:space="preserve">Enterprise subscription, typically by number of applications/assets and/or developers; Anya bundled in higher tiers</t>
  </si>
  <si>
    <t xml:space="preserve">Not publicly disclosed; anecdotal enterprise deals from high five to mid six figures per year (unverified)</t>
  </si>
  <si>
    <t xml:space="preserve">Large enterprises with scanner sprawl (10+ tools) that want a neutral correlation and remediation-ops layer without replacing scanners</t>
  </si>
  <si>
    <t xml:space="preserve">- https://www.armorcode.com/
- https://www.armorcode.com/anya
- https://www.armorcode.com/application-security-posture-management
- https://appsecsanta.com/aspm-tools</t>
  </si>
  <si>
    <t xml:space="preserve">https://www.blackduck.com/</t>
  </si>
  <si>
    <t xml:space="preserve">Polaris: SaaS; Coverity, Black Duck SCA and Software Risk Manager: on-prem and air-gap supported; Hybrid overall</t>
  </si>
  <si>
    <t xml:space="preserve">Modules: SAST (Coverity engine), SCA (Black Duck SCA, binary analysis), DAST (Continuous Dynamic, formerly WhiteHat), IAST (Seeker), secrets (within SCA/SAST), IaC, container, SBOM (strong), ASPM (Software Risk Manager, formerly Code Dx, 150+ tool integrations, 20+ compliance mappings), autofix (Black Duck Assist / Signal). Language breadth: 20+ languages Coverity; broadest SCA/binary coverage in market</t>
  </si>
  <si>
    <t xml:space="preserve">- Software Risk Manager ASPM: unifies 150+ third-party tools, dedup, compliance correlation (HIPAA, NIST), central policy
- Polaris SaaS unifies SAST/SCA/DAST with risk prioritisation
- Air-gapped on-prem ASPM (rare in market)
- Black Duck Signal agentic AppSec for autonomous detect-and-remediate, now with BYO-LLM and six configurable agents (Sept 2026)
- Central rule profiles in Polaris inherited at org/app/project level, incl. CWE Top 25 2024/2025
- Self-hosted SCM onboarding and PR-driven remediation for on-prem repos (Sept 2026)
- AI Model Risk Insights: AI models embedded in apps included in SBOM
- Deep binary and license compliance analysis</t>
  </si>
  <si>
    <t xml:space="preserve">150+ tools into SRM; GitHub, GitLab, Azure DevOps, Jenkins, Jira, ServiceNow, IDEs via Code Sight, Kubernetes/registries</t>
  </si>
  <si>
    <t xml:space="preserve">Automotive/embedded, semiconductor, financial services, government, medical devices (SBOM-heavy sectors); logos not verified this session</t>
  </si>
  <si>
    <t xml:space="preserve">- Gartner MQ AST Oct 2025: Leader
- Gartner MQ SSCS June 2026: Leader (inaugural, 18 vendors)
- Forrester Wave SAST Q3 2025: evaluated (placement not verified)
- Gartner Market Guide ASPM: representative vendor (SRM)
- GigaOm Radar ASPM: not verified</t>
  </si>
  <si>
    <t xml:space="preserve">- Fragmented product lineage (Coverity, Black Duck, Seeker, WhiteHat, Code Dx) still shows in UX and licensing despite Polaris
- Slower agentic roadmap; Signal is new and unproven at scale
- Coverity on-prem is resource-heavy and expensive
- PE carve-out from Synopsys: integration debt and possible further restructuring
- Pricing is among the highest in the market for full-suite deals</t>
  </si>
  <si>
    <t xml:space="preserve">Enterprise subscription; per-developer or per-application/LOC for Coverity; per-project for SCA; SRM per-app or per-user</t>
  </si>
  <si>
    <t xml:space="preserve">Not publicly disclosed; historically six figures for enterprise Coverity + Black Duck SCA (unverified)</t>
  </si>
  <si>
    <t xml:space="preserve">Regulated, air-gapped or SBOM-mandated organisations (embedded, medical, defence) needing on-prem ASPM plus best-in-class binary SCA</t>
  </si>
  <si>
    <t xml:space="preserve">2026-09-23: [Release] Polaris September 2026 update adds bring-your-own-LLM for Black Duck Signal AI code analysis (six configurable agents with per-agent model/provider settings), unified AI findings alongside deterministic results, central rule profiles inherited across org/app/project, self-hosted SCM support (GitHub Enterprise Server, GitLab self-managed, Azure DevOps Server, Bitbucket Data Center) with PR-driven remediation, and async SCA change alerts.</t>
  </si>
  <si>
    <t xml:space="preserve">- https://www.blackduck.com/
- https://www.blackduck.com/software-risk-manager.html
- https://www.prnewswire.com/news-releases/black-duck-named-a-leader-in-the-inaugural-2026-gartner-magic-quadrant-for-software-supply-chain-security-302806514.html
- https://www.blackduck.com/resources/analyst-reports/gartner-magic-quadrant-appsec.html</t>
  </si>
  <si>
    <t xml:space="preserve">https://checkmarx.com/product/checkmarx-one/</t>
  </si>
  <si>
    <t xml:space="preserve">SaaS (multi-region incl. FedRAMP Moderate 'Checkmarx One for Government', July 2026) / On-prem legacy CxSAST still sold; full One platform on-prem is limited (private tenant / hybrid options exist; verify per client)</t>
  </si>
  <si>
    <t xml:space="preserve">Modules: SAST, SCA (incl. malicious package protection), secrets, IaC (KICS), container, DAST ('DAST for AI'), API security, SBOM/AI-BOM, ASPM (risk orchestration, policy, analytics), autofix (Remediation Assist), Repository Health, AI supply chain (AI Inventory, LLM scanner, MCP scanner forthcoming). Language breadth: 35+ languages / 80+ frameworks for SAST (vendor claim)</t>
  </si>
  <si>
    <t xml:space="preserve">- Native end-to-end scanner suite plus ASPM layer that correlates and dedups across engines
- Attackability-first risk scoring (Triage Assist)
- 'Fusion' hybrid scanning (deterministic + AI reasoning, July 2026)
- Policy engine and application/asset-owner mapping
- Third-party scanner ingestion into ASPM (breadth narrower than pure-play ASPMs)
- Enterprise reporting, compliance and executive dashboards
- Fusion, Triage Assist and Remediation Assist purchasable through the Claude Marketplace with Anthropic spend commitments (US customers, Oct 2026, per vendor)</t>
  </si>
  <si>
    <t xml:space="preserve">GitHub, GitLab, Azure DevOps, Bitbucket, Jenkins, Jira, ServiceNow, IDEs (VS Code, JetBrains, Visual Studio, Eclipse), Cursor/Copilot via MCP, SIEM/SOAR, Carahsoft channel for US public sector</t>
  </si>
  <si>
    <t xml:space="preserve">Financial services, government (FedRAMP Moderate), large enterprise; specific logos not verified this session</t>
  </si>
  <si>
    <t xml:space="preserve">- Gartner MQ AST Oct 2025: Leader (furthest on Completeness of Vision, 16 vendors evaluated)
- Gartner MQ SSCS June 2026: Leader
- Forrester Wave SAST Q3 2025: Leader
- Gartner Market Guide ASPM: representative vendor (not verified this session)
- GigaOm Radar ASPM: not verified</t>
  </si>
  <si>
    <t xml:space="preserve">- Lock-in: ASPM layer is strongest with Checkmarx's own engines; third-party ingestion exists but is not the product's centre of gravity
- Pricing is enterprise-only and historically premium; multi-module bundles are negotiated per deal
- On-prem: legacy CxSAST is on-prem but the modern One platform is SaaS-first, so air-gapped clients get a reduced experience
- Module maturity variance: DAST and API security are younger than SAST/SCA
- PE ownership (H&amp;F since 2020) means an exit or sale is a standing possibility (no announced transaction; unverified)</t>
  </si>
  <si>
    <t xml:space="preserve">Enterprise subscription; typically priced per contributing developer with module bundles (Code Security, Supply Chain, Platform/ASPM); Developer Assist free trial; Fusion, Triage Assist and Remediation Assist can be bought with committed Anthropic spend via the Claude Marketplace (US customers, Oct 2026, per vendor; no list price published)</t>
  </si>
  <si>
    <t xml:space="preserve">Not publicly disclosed; market anecdotes put full-platform enterprise deals in the low-to-mid six figures per year for 500+ developers (unverified)</t>
  </si>
  <si>
    <t xml:space="preserve">Enterprises wanting one vendor for native scanners plus governance, with strong SAST accuracy requirements and public-sector/FedRAMP needs</t>
  </si>
  <si>
    <t xml:space="preserve">2026-10-15: [Feature launch] Checkmarx joined the Claude Marketplace: US Anthropic customers can apply committed Anthropic spend to Checkmarx Fusion (deterministic engine plus Claude models), Triage Assist and Remediation Assist, consolidating the purchase onto the Anthropic invoice (per vendor). The release also states Checkmarx participates in Anthropic's Cyber Verification Program using Claude Mythos. No list prices, GA/preview label or Claude surface (Claude Code, Cowork) is given.
2026-07-01: [Feature launch] Checkmarx One Assist self-healing agent family</t>
  </si>
  <si>
    <t xml:space="preserve">- https://checkmarx.com/product/checkmarx-one/
- https://checkmarx.com/product/developer-assist/
- https://checkmarx.com/press-releases/
- https://checkmarx.com/press-releases/checkmarx-joins-the-claude-marketplace/
- https://checkmarx.com/blog/checkmarx-named-a-leader-for-the-7th-time-in-the-2025-gartner-magic-quadrant-for-application-security-testing/
- https://checkmarx.com/checkmarx-named-a-leader-in-the-2026-gartner-magic-quadrant-for-software-supply-chain-security/</t>
  </si>
  <si>
    <t xml:space="preserve">https://clover.security/</t>
  </si>
  <si>
    <t xml:space="preserve">SaaS (unverified)</t>
  </si>
  <si>
    <t xml:space="preserve">Modules: design-time security (requirements, threat modelling and security design derived from tickets/specs), AI-driven controls before code; scanners: none. ASPM: none. Autofix: n/a. Language breadth: n/a</t>
  </si>
  <si>
    <t xml:space="preserve">- Shifts security to design phase (Jira/spec ingestion)
- Reported $36M funding at launch (November 2025); ServiceNow investment reported March 2026
- AI-generated security requirements
- Kura: adaptive security context for coding agents that keeps a live threat model and generates task-scoped threats and countermeasures during code generation (released Aug 3, 2026; vendor claims 94% vulnerability prevention vs 37% for frontier models with generic context)
- One-click connection to existing coding agents (vendor claim)
- Complements scanners rather than replacing them</t>
  </si>
  <si>
    <t xml:space="preserve">Jira and SDLC planning tools (reported)</t>
  </si>
  <si>
    <t xml:space="preserve">- Very new; product depth unverified
- Not a scanner or ASPM
- Adoption depends on engineering process discipline
- Vendor efficacy claims (94% prevention) are self-reported
- Funding-stage risk</t>
  </si>
  <si>
    <t xml:space="preserve">Threat-modelling-heavy programmes wanting AI assistance at design time (watch-list only)</t>
  </si>
  <si>
    <t xml:space="preserve">SaaS with in-app agents; on-prem (self-hosted) available for Contrast platform</t>
  </si>
  <si>
    <t xml:space="preserve">Modules: IAST (Assess), runtime protection/ADR (Application Detection and Response), SCA (runtime-aware), SAST (Contrast Scan, pipeline-native), API security testing, SBOM, ASPM-lite (Northstar / unified vulnerability view; third-party ingestion limited). DAST: none. Autofix: AI fix guidance (SmartFix). Language breadth: agents for Java, .NET, Node.js, Python, Ruby, Go, PHP, Kotlin (IAST)</t>
  </si>
  <si>
    <t xml:space="preserve">- Runtime-first: IAST and ADR observe real application behaviour
- Contrast One bundles platform with managed expert services (daily triage, policy, reporting)
- Northstar unified dashboard
- Runtime-aware SCA (which libraries are actually loaded)
- ADR blocks attacks in production
- Good fit for organisations lacking AppSec headcount</t>
  </si>
  <si>
    <t xml:space="preserve">Jira, ServiceNow, Slack, GitHub, GitLab, Jenkins, Azure DevOps, SIEM (Splunk), IDEs</t>
  </si>
  <si>
    <t xml:space="preserve">Financial services, insurance, healthcare with Java/.NET estates; logos not verified</t>
  </si>
  <si>
    <t xml:space="preserve">- Gartner MQ AST Oct 2025: placement not verified (historically Visionary/Niche)
- Not rated as ASPM</t>
  </si>
  <si>
    <t xml:space="preserve">- Agent-based IAST requires instrumentation and runtime environments; coverage gaps for languages without agents
- Not an aggregator; limited third-party ingestion
- Managed service model may conflict with a consulting firm's own delivery
- Slower AI/agentic narrative than peers
- Pricing opaque</t>
  </si>
  <si>
    <t xml:space="preserve">Per application/server subscription; Contrast One as managed bundle</t>
  </si>
  <si>
    <t xml:space="preserve">Organisations wanting runtime-verified vulnerabilities and production protection, especially with limited internal AppSec staff</t>
  </si>
  <si>
    <t xml:space="preserve">SaaS; enterprise/on-prem via demo (unverified)</t>
  </si>
  <si>
    <t xml:space="preserve">Modules: AI SAST (BLAST engine, business-logic flaws), SCA with reachability, IaC, container, secrets, code quality, autofix (90%+ auto-fix accuracy claim), attack-surface mapping to runtime. DAST: none. ASPM: light (own findings). Language breadth: mainstream languages (not enumerated)</t>
  </si>
  <si>
    <t xml:space="preserve">- AI SAST for broken auth/authz gaps that pattern tools miss
- Autonomous discovery and fix generation
- Corgea Agent for conversational triage across repos, with admin-reviewed learning recommendations (Sept 2026)
- Guided authenticated pentest target setup and CycloneDX SBOM export (Sept 2026)
- IDE integrations (VS Code, Cursor, Visual Studio 2022, IntelliJ)
- Integrates with AI agents for autonomous security
- SOC 2 Type II; 14-day free trial</t>
  </si>
  <si>
    <t xml:space="preserve">GitHub, GitLab, Azure DevOps, Bitbucket, Harness, VS Code, Cursor, IntelliJ, Jira</t>
  </si>
  <si>
    <t xml:space="preserve">Start-ups to enterprise; logos not verified</t>
  </si>
  <si>
    <t xml:space="preserve">- Young vendor; longevity risk
- Overlaps with incumbents' AI SAST
- Compliance evidence with LLM findings
- No DAST/aggregation
- Enterprise governance features immature</t>
  </si>
  <si>
    <t xml:space="preserve">Growth tier with free trial; Enterprise custom</t>
  </si>
  <si>
    <t xml:space="preserve">Smaller engineering orgs wanting an AI-first scanner with autofix, or as a pilot for AI SAST accuracy comparisons</t>
  </si>
  <si>
    <t xml:space="preserve">2026-09-24: [Release] Corgea weekly changelog adds file include rules (glob-based scanning of previously skipped paths), a guided pentest target setup wizard with multi-account and TOTP login, on-demand CycloneDX SBOM downloads per scan, GitHub team sync and API support for scan manifests and incremental baselines.
2026-09-17: [Release] Corgea Agent gets its own top-level navigation for querying findings across GitHub, GitLab, Azure DevOps and Bitbucket; admins get a daily digest of agent learning recommendations; Advanced Vulnerability Search shows inline SCA, container and IaC details.</t>
  </si>
  <si>
    <t xml:space="preserve">SaaS (Cortex Cloud); no on-prem control plane</t>
  </si>
  <si>
    <t xml:space="preserve">Modules: SCA, secrets, IaC (Checkov heritage), container, CI/CD and supply chain security, SBOM, ASPM (single risk/policy/automation engine with third-party tool ingestion), SAST (limited / via ingestion; native SAST not verified), DAST (none), autofix (remediation playbooks, fix-at-source PRs). Language breadth: IaC/SCA broad; SAST not core</t>
  </si>
  <si>
    <t xml:space="preserve">- ASPM consolidates AppSec visibility into a risk, policy and automation engine
- Ingests any AppSec tool's findings
- Code, pipeline, runtime and application context combined for prioritisation
- Prevention-first with remediation playbooks
- Tight coupling to Cortex XSIAM/Cloud runtime and CDR
- Engineering ecosystem/pipeline governance</t>
  </si>
  <si>
    <t xml:space="preserve">GitHub, GitLab, Bitbucket, Azure DevOps, Jenkins, CircleCI, Jira, ServiceNow, cloud providers, Cortex XSIAM, third-party AppSec tools</t>
  </si>
  <si>
    <t xml:space="preserve">Large enterprises already on Palo Alto (network/SOC); logos not verified</t>
  </si>
  <si>
    <t xml:space="preserve">- Gartner Market Guide ASPM: representative vendor
- Gartner MQ CNAPP: Leader (2025; not verified)
- GigaOm Radar ASPM: rated (position unverified)
- Gartner MQ AST / Forrester SAST: not rated</t>
  </si>
  <si>
    <t xml:space="preserve">- Prisma Cloud to Cortex Cloud migration (2025) caused packaging and licensing churn
- Weak native SAST; AppSec value depends on ingesting other scanners
- SaaS-only, credit-based licensing is hard to forecast
- Best value only inside the Palo Alto ecosystem
- Palo Alto's serial acquisitions (e.g., CyberArk 2025, Protect AI 2025) keep the roadmap in flux</t>
  </si>
  <si>
    <t xml:space="preserve">Cortex Cloud credits/consumption-based enterprise agreement</t>
  </si>
  <si>
    <t xml:space="preserve">Not publicly disclosed; enterprise agreements typically six figures plus</t>
  </si>
  <si>
    <t xml:space="preserve">Palo Alto-standardised enterprises that want AppSec posture inside the same SOC/cloud console rather than a standalone AppSec platform</t>
  </si>
  <si>
    <t xml:space="preserve">- https://www.paloaltonetworks.com/cortex/cloud/application-security
- https://appsecsanta.com/aspm-tools</t>
  </si>
  <si>
    <t xml:space="preserve">SaaS (Falcon platform); no on-prem</t>
  </si>
  <si>
    <t xml:space="preserve">Modules: ASPM correlation (runtime-driven), application architecture mapping (microservices, APIs, data flows), third-party scanner ingestion, shadow AI detection, sensitive data flow mapping, container image scanning (Falcon Cloud Security), IaC (Falcon Cloud Security). SAST/SCA/DAST: none native (ingested). Autofix: none verified. Language breadth: runtime-language agnostic</t>
  </si>
  <si>
    <t xml:space="preserve">- Runtime-driven posture: maps how apps actually run to surface exploitable risk
- Real-time application dependency graph incl. AI models
- Shadow AI detection and AI data-access assessment
- PII/PCI/PHI data-flow identification
- Business-impact prioritisation with Falcon threat intel
- Unified with Falcon Cloud Security (CSPM, CWP, CDR) and Charlotte AI</t>
  </si>
  <si>
    <t xml:space="preserve">Falcon platform modules, GitHub/GitLab (limited), Jira, ServiceNow, third-party AppSec scanners (datasheet), cloud providers</t>
  </si>
  <si>
    <t xml:space="preserve">Existing Falcon customers across financial services, healthcare, public sector; Gartner Peer Insights Customers' Choice for ASPM (Feb 2026)</t>
  </si>
  <si>
    <t xml:space="preserve">- Forrester Wave Proactive Security Platforms Q3 2026 (Sept 2026): Leader (Falcon Exposure Management; highest Strategy score)
- Gartner Peer Insights Customers' Choice ASPM 2026
- Gartner Market Guide ASPM: representative vendor
- GigaOm Radar ASPM: rated (position unverified)
- Gartner MQ AST / SSCS / Forrester SAST: not rated</t>
  </si>
  <si>
    <t xml:space="preserve">- No native code scanners: it is a runtime posture overlay, not an AppSec testing platform
- Weak developer workflow (IDE/PR) presence
- Requires Falcon sensors/agents deployed in runtime for full value
- Priced as part of a large Falcon bundle; hard to buy standalone
- Strategic focus is SOC/AI security (Pangea), so AppSec roadmap depth is uncertain</t>
  </si>
  <si>
    <t xml:space="preserve">Falcon platform module subscription, per workload/sensor</t>
  </si>
  <si>
    <t xml:space="preserve">CrowdStrike-standardised enterprises wanting runtime-informed AppSec prioritisation and shadow AI discovery on top of existing scanners</t>
  </si>
  <si>
    <t xml:space="preserve">2026-09-24: [Release] CrowdStrike Falcon Exposure Management named a Leader in The Forrester Wave: Proactive Security Platforms, Q3 2026, with the highest Strategy score and maximum scores in Innovation and Roadmap; ASPM is evaluated as part of the Falcon platform rather than standalone.</t>
  </si>
  <si>
    <t xml:space="preserve">- https://www.crowdstrike.com/en-us/platform/cloud-security/aspm/
- https://www.crowdstrike.com/en-us/press-releases/
- https://appsecsanta.com/aspm-tools</t>
  </si>
  <si>
    <t xml:space="preserve">SaaS; hybrid connectors for private SCM/CI; Workstation Protection endpoint control deployed via MDM (early access, Sept 2026); on-prem platform not publicly documented</t>
  </si>
  <si>
    <t xml:space="preserve">Modules: SAST (native, from Bearer acquisition 2024), SCA, secrets (strong; origin as secrets/SCM security), IaC, container, SBOM, CI/CD pipeline security, ASPM correlation (Risk Intelligence Graph, 100+ connectors via ConnectorX), autofix (Remediation Agent). DAST: via ingestion. Language breadth: native SAST covers mainstream languages (JS/TS, Java, Python, Go, Ruby, PHP, C#; unverified full list)</t>
  </si>
  <si>
    <t xml:space="preserve">- Single graph consolidating ADSP (AI dev security), AST, SSCS and ASPM
- Maestro agent orchestration with purpose-built agents
- Change Impact Analysis on merges
- Code-to-runtime correlation and reachability filtering
- 100+ connectors marketplace for third-party scanner ingestion
- Cycode MCP Server delivering graph context to AI dev tools
- Workstation Protection (early access, Sept 2026): MDM-deployed package cooldown and malicious-package blocking on developer endpoints</t>
  </si>
  <si>
    <t xml:space="preserve">GitHub, GitLab, Bitbucket, Azure DevOps, Jenkins, CircleCI, Jira, ServiceNow, Slack, cloud providers, 100+ security tools via ConnectorX</t>
  </si>
  <si>
    <t xml:space="preserve">Financial services, technology, healthcare enterprises; logos not verified this session</t>
  </si>
  <si>
    <t xml:space="preserve">- Gartner MQ SSCS June 2026: evaluated (placement not verified)
- Gartner Market Guide ASPM and Market Guide SSCS 2025: representative vendor
- Gartner MQ AST: not included (not verified)
- GigaOm Radar ASPM: not verified
- Forrester: not rated</t>
  </si>
  <si>
    <t xml:space="preserve">- SaaS-only for regulated/on-prem clients
- Native SAST (ex-Bearer) is younger than Checkmarx/Semgrep engines
- Strongest where SCM/CI risk dominates; less compelling for runtime-heavy programmes
- Mid-size vendor: acquisition target risk in a consolidating market
- Pricing enterprise-only, not published</t>
  </si>
  <si>
    <t xml:space="preserve">Enterprise subscription per developer/contributor with module tiers</t>
  </si>
  <si>
    <t xml:space="preserve">Organisations prioritising SCM/CI/CD hardening, secrets and supply chain with a graph-based ASPM and willingness to adopt native scanners</t>
  </si>
  <si>
    <t xml:space="preserve">2026-09-23: [Feature launch] Cycode launched Workstation Protection (early access) extending ADLC Security to developer machines via MDM: cooldown policies refuse freshly published package versions and threat-intel blocking stops known-malicious packages before install, aimed at AI agents installing packages without review.</t>
  </si>
  <si>
    <t xml:space="preserve">- https://cycode.com/
- https://cycode.com/blog/gartner-cycode-coverage-q2-2025/
- https://cycode.com/blog/cycode-named-in-the-gartner-market-guide-for-software-supply-chain-security-2025/
- https://guptadeepak.com/tools/top-5-aspm-platforms-2026/</t>
  </si>
  <si>
    <t xml:space="preserve">Modules: AI-native SAST / PR code review (injection, auth, IDOR, logic bugs), DeepScan Agent for full-repo baseline, natural-language custom code policies, code security intelligence (developer activity, risk attribution). SCA/secrets: limited. DAST/ASPM: none. Autofix: agent-native remediation guidance. Language breadth: Python, JS/TS, Java, C#, Ruby, Go and others</t>
  </si>
  <si>
    <t xml:space="preserve">- Contextual Security Analysis understands intent rather than patterns
- 500k+ code reviews/week (vendor)
- Natural-language policies replace rule maintenance
- DeepScan Agent
- Integrations with Claude Desktop, Cursor, Codex via MCP
- Black Hat startup finalist; Austin Inno 2025 Startups to Watch</t>
  </si>
  <si>
    <t xml:space="preserve">GitHub, GitLab, Slack, Jira, Claude Desktop, Cursor, Codex</t>
  </si>
  <si>
    <t xml:space="preserve">Cloudera, Invisible Technologies, Commerce (vendor site)</t>
  </si>
  <si>
    <t xml:space="preserve">- Black Hat startup finalist (year unverified)
- otherwise not rated</t>
  </si>
  <si>
    <t xml:space="preserve">- PR-centric; weaker for legacy baseline and compliance reporting
- No SCA/DAST depth
- Young vendor
- LLM cost and non-determinism
- SaaS-only</t>
  </si>
  <si>
    <t xml:space="preserve">Subscription (contact sales); free assessment</t>
  </si>
  <si>
    <t xml:space="preserve">Teams wanting an AI reviewer on every PR to complement deterministic SAST</t>
  </si>
  <si>
    <t xml:space="preserve">SaaS; self-hosted/on-prem option for enterprise reported (unverified)</t>
  </si>
  <si>
    <t xml:space="preserve">Modules: SCA with function-level reachability (flagship), AI SAST (dataflow across repos and PRs), secrets, container scanning (reachability from code; incremental scanning and base-image attribution added Sept 2026), SBOM/VEX (async export jobs), Package Firewall (malicious package blocking; NuGet and VS Code extensions added Sept 2026), Endor Patches (backported fixes), AI Code Governance (coding agents, models, MCP servers, skills), AI Security Review (agent-based architectural risk detection on PRs), Threat Center (emerging threat view, Sept 2026), ASPM-lite (own findings; limited third-party ingestion). DAST: none. Language breadth: reachability for Java, Python, JS/TS, Go, C#, Rust, Kotlin, Ruby, PHP, Swift, Scala (expanding; list partly unverified); Conan C/C++ manifests resolved (Sept 2026)</t>
  </si>
  <si>
    <t xml:space="preserve">- Reachability-based SCA cuts noise up to 95-97% (vendor)
- AI Security Code Review agent on every PR (claims 2.6x higher true positives vs frontier models)
- Endor Patches for fixes without major upgrades
- AI Code Governance: inventory and policy for agents, models, MCP servers
- MCP servers for Claude, Cursor, VS Code
- Package Firewall at install time, now also blocks malicious VS Code extensions (Sept 2026)
- Threat Center: tenant-wide view of emerging malware, packages, vulnerabilities and AI models (Sept 2026)
- Incremental container scanning and base-image vs app-layer attribution (Sept 2026)
- Conan C/C++ support (Sept 2026)</t>
  </si>
  <si>
    <t xml:space="preserve">GitHub, GitLab, Azure DevOps, Bitbucket, Jenkins, CircleCI, Jira, Slack, Artifactory, container registries, Claude/Cursor/VS Code via MCP, Bright Security (DAST partnership, Oct 2026, per vendor), customer LLM accounts via BYOK (OpenAI, Azure OpenAI, Gemini, Vertex AI; private beta)</t>
  </si>
  <si>
    <t xml:space="preserve">Egnyte, AppLovin, Peloton, Netskope, Atlassian (vendor site); technology, fintech</t>
  </si>
  <si>
    <t xml:space="preserve">- Gartner MQ SSCS June 2026: evaluated (placement not verified)
- Gartner Cool Vendor / Market Guide SSCS: representative vendor (not verified)
- Not rated in MQ AST / Forrester SAST</t>
  </si>
  <si>
    <t xml:space="preserve">- No DAST and thin third-party ingestion; not a full ASPM
- Younger platform components (AI SAST, container) vs flagship SCA
- SaaS-first; on-prem unverified
- Premium per-developer pricing
- Venture-backed ($93M Series B, April 2025, reported); acquisition target risk</t>
  </si>
  <si>
    <t xml:space="preserve">Per developer per year subscription; free tier for open source</t>
  </si>
  <si>
    <t xml:space="preserve">Engineering-led organisations prioritising SCA accuracy, AI-generated code review and governance of coding agents</t>
  </si>
  <si>
    <t xml:space="preserve">2026-10-14: [Feature launch] Endor Labs announced BYOK (bring your own key) for AI SAST and AI Chat: model requests route through the Endor Labs AI Gateway to the customer's own LLM provider account (OpenAI, Azure OpenAI, Gemini, Vertex AI; region selection for Azure OpenAI and Vertex AI) with an encrypted key store, provider allowlist and tenant isolation; BYOK is all-or-nothing with no fallback to Endor credentials. Private beta for Endor Labs customers; Anthropic and Bedrock are not listed.
2026-10-12: [Feature launch] Endor Labs and Bright Security announced a partnership to connect vulnerability discovery with remediation (integration details per vendor blog; depth not verified).
2026-09-27: [Release] September 2026 release notes (month-level page, exact day not stated; dated to match the 27 Sep sweep) add Conan C/C++ dependency resolution, a tenant-wide Threat Center for emerging malware, packages, vulnerabilities and AI models, Package Firewall blocking of malicious VS Code extensions via MDM, incremental container scanning against a baseline, base-image versus application-layer attribution with upgrade suggestions, malware exposure classification (Definitely vs Potentially Affected), NuGet support in Package Firewall, watchOS/tvOS/visionOS for Bazel, Codex policy adjustments and async SBOM/VEX exports. Threat Center and the VS Code extension firewall began rolling out per a Sept 9 blog post updated Sept 16 (vendor claim on availability).</t>
  </si>
  <si>
    <t xml:space="preserve">- https://www.endorlabs.com/
- https://www.endorlabs.com/learn
- https://www.endorlabs.com/learn/byok-for-endor-labs
- https://www.reversinglabs.com/blog/5-takeaways-2026-gartner-magic-quadrant-sscs</t>
  </si>
  <si>
    <t xml:space="preserve">SaaS; private/on-prem scanner deployment reported (unverified; vendor page fetch blocked this session)</t>
  </si>
  <si>
    <t xml:space="preserve">Modules: DAST (web, API incl. GraphQL/REST/gRPC), API discovery/inventory, business logic security testing (BLST), agentic AI pentesting, secrets in APIs, SBOM: none, SAST/SCA: none (code-aware via repo integration), ASPM: none (feeds ASPMs). Autofix: remediation code snippets. Language breadth: language-agnostic (runtime)</t>
  </si>
  <si>
    <t xml:space="preserve">- AI-driven business logic testing beyond OWASP checklists
- API discovery from code and traffic
- Agentic pentesting narrative (2025-2026)
- Developer-friendly remediation snippets
- CI/CD integration and Jira/Slack workflows</t>
  </si>
  <si>
    <t xml:space="preserve">GitHub, GitLab, Jenkins, Jira, Slack, API gateways (Kong, Apigee, AWS), ASPMs (ArmorCode, Phoenix) as source</t>
  </si>
  <si>
    <t xml:space="preserve">Fintech, SaaS, telco in EU/US; logos not verified</t>
  </si>
  <si>
    <t xml:space="preserve">Not rated (mentioned in Gartner DAST/API security guides; unverified)</t>
  </si>
  <si>
    <t xml:space="preserve">- Point solution: DAST/API only
- Small vendor, funding-dependent
- Unverified on-prem
- Business-logic claims hard to benchmark
- Must pair with SAST/SCA and an ASPM</t>
  </si>
  <si>
    <t xml:space="preserve">Subscription per application/API; free tier historically</t>
  </si>
  <si>
    <t xml:space="preserve">API-heavy clients needing modern DAST as the dynamic feed into a consolidated platform</t>
  </si>
  <si>
    <t xml:space="preserve">- https://escape.tech/
- https://appsecsanta.com/aspm-tools</t>
  </si>
  <si>
    <t xml:space="preserve">SaaS (GitHub.com, Enterprise Cloud incl. data residency) / On-prem via GitHub Enterprise Server (Copilot Autofix and some AI features limited or unavailable on GHES)</t>
  </si>
  <si>
    <t xml:space="preserve">Modules: SAST (CodeQL), SCA (Dependabot, dependency review), secrets (push protection, AI-detected generic secrets), SBOM (dependency graph export), IaC/container (via third-party actions and SARIF upload only), DAST (none native), API (none), ASPM (security overview dashboards, campaigns; org-level only), autofix (Copilot Autofix). Language breadth: CodeQL supports ~12 core languages (C/C++, C#, Go, Java/Kotlin, JS/TS, Python, Ruby, Swift, Rust, GitHub Actions)</t>
  </si>
  <si>
    <t xml:space="preserve">- Split into two standalone products (April 2025): Secret Protection $19 and Code Security $30 per active committer per month
- Copilot Autofix for CodeQL and third-party SARIF alerts
- Agentic autofix GA on Enterprise Cloud (Oct 15, 2026): codebase-wide fix, CodeQL re-validation, draft PR, batch assignment, billed in AI Credits
- AI Scan for pull requests GA (Oct 15, 2026) with enablement status and metrics in security overview
- Security campaigns for backlog burn-down
- Push protection with bypass workflow; Anthropic keys blocked by default (Oct 2026)
- SARIF ingestion lets any scanner surface alerts in PRs
- Open source license compliance GA (Oct 16, 2026)
- Security overview and enterprise-level risk/coverage dashboards</t>
  </si>
  <si>
    <t xml:space="preserve">Native to GitHub; SARIF upload from any scanner; Jira/Azure Boards via apps; Microsoft Defender for Cloud (code-to-cloud), Copilot, third-party ASPM tools ingest GHAS alerts</t>
  </si>
  <si>
    <t xml:space="preserve">Ubiquitous across sectors for GitHub-hosted code; logos not verified</t>
  </si>
  <si>
    <t xml:space="preserve">- Gartner MQ AST Oct 2025: evaluated (placement not verified; historically Visionary)
- Forrester Wave SAST Q3 2025: evaluated (placement not verified)
- Gartner MQ SSCS June 2026: not verified
- ASPM radars: generally not rated as ASPM</t>
  </si>
  <si>
    <t xml:space="preserve">- Only useful for code hosted on GitHub; multi-SCM clients need another layer
- No native DAST, IaC, or container scanning; relies on SARIF from other tools
- ASPM correlation is shallow (no cross-tool dedup, weak business context)
- GHES feature lag for AI capabilities; agentic autofix GA is Enterprise Cloud only
- Agentic autofix is metered in AI Credits plus Actions minutes on top of the per-committer fee, so remediation cost is variable
- Per-active-committer pricing is predictable but adds up fast on large monorepos</t>
  </si>
  <si>
    <t xml:space="preserve">Per active committer per month: Secret Protection $19, Code Security $30 (both together $49); metered on GitHub Enterprise Cloud; GHES via licence; agentic autofix additionally consumes AI Credits from the Code Security budget and GitHub Actions minutes (SKU-level budgets configurable) and requires a Copilot billing method</t>
  </si>
  <si>
    <t xml:space="preserve">$228 to $588 per active committer per year; e.g., 1,000 committers on both products approx $588k/yr list</t>
  </si>
  <si>
    <t xml:space="preserve">GitHub-standardised organisations wanting frictionless CodeQL/secrets/Dependabot coverage inside the PR, typically paired with a separate ASPM</t>
  </si>
  <si>
    <t xml:space="preserve">2026-10-16: [Feature GA] Open source license compliance (supply chain security) is generally available; Dependabot also gained anonymous organization-level registries (Oct 12) and improved detection of withdrawn alerts (Oct 13).
2026-10-15: [Feature GA] Agentic autofix for code scanning alerts is generally available for GitHub Code Security and GHAS customers on GitHub Enterprise Cloud (incl. data residency). It explores the codebase, proposes a fix, reruns CodeQL to confirm the alert is closed and opens a draft pull request with reasoning and validation steps; alerts can be assigned to Copilot individually, in batches of up to 25 or via REST API (default branch only). It is opt-in (enterprise policy plus org or repo setting), needs a Copilot billing method, and consumes AI Credits from the Code Security budget plus Actions minutes.
2026-10-15: [Feature GA] AI Scan for pull requests is generally available for code scanning; companion changelog entries add AI Scan enablement status (Oct 6) and AI Scan metrics (Oct 13) to the security overview. Details of the GA post were not fetched beyond the changelog listing.
2026-10-13: [Feature launch] Secret scanning push protection now blocks Anthropic API keys by default and adds Salesforce detectors; on Oct 5 detectors for Lovable, Supabase and other services were added, and on Oct 7 GitHub introduced a purpose-built model for leaked secret detection.
2026-10-09: [Release] CodeQL 2.27.2 improves C++, Go, Rust and JavaScript analysis for code scanning.
2026-09-25: [Feature launch] Agentic autofix (public preview since July 2026) now uses Copilot Memory when enabled: it reads existing repository memories for context when fixing code scanning alerts and stores fix patterns as memories reused by later autofixes, Copilot code review and cloud agent.
2026-09-25: [Release] CodeQL 2.27.1 adds a new C/C++ query and Kotlin 2.4.20 support for code scanning.</t>
  </si>
  <si>
    <t xml:space="preserve">- https://github.com/security/advanced-security
- https://www.forrester.com/blogs/announcing-the-forrester-wave-static-application-security-testing-solutions-and-buyers-guide-ai-brings-opportunity-to-sast-solutions/</t>
  </si>
  <si>
    <t xml:space="preserve">SaaS (vendor page fetch blocked this session; unverified)</t>
  </si>
  <si>
    <t xml:space="preserve">Modules (reported): deterministic (non-LLM) remediation of IaC misconfigurations (Terraform, CloudFormation, Kubernetes) with PRs; ingests CSPM/IaC findings; no SAST/SCA/DAST; no ASPM</t>
  </si>
  <si>
    <t xml:space="preserve">- Deterministic fixes avoid LLM hallucination for IaC
- Ingests findings from cloud security tools and opens PRs
- Narrow, high-precision niche</t>
  </si>
  <si>
    <t xml:space="preserve">GitHub, GitLab, Wiz/Prisma/other CSPM outputs (reported)</t>
  </si>
  <si>
    <t xml:space="preserve">- IaC-only niche
- Unverified this session
- CNAPP vendors bundle similar auto-PR (Wiz Green)
- Small vendor</t>
  </si>
  <si>
    <t xml:space="preserve">Cloud-platform teams needing safe IaC remediation at scale (watch-list)</t>
  </si>
  <si>
    <t xml:space="preserve">Hybrid: AppScan 360 (cloud-native, self-managed on Kubernetes, on-prem and air-gap supported), AppScan on Cloud (SaaS), AppScan Enterprise/Source/Standard (classic on-prem)</t>
  </si>
  <si>
    <t xml:space="preserve">Modules: SAST (30+ languages), DAST (incremental scanning, test optimisation), IAST (auto-issue correlation, API discovery), SCA (open source, containers, supply chain), API security (discovery, testing, posture), SBOM, ASPM-lite (unified dashboards, correlation across own engines), autofix (AppScan RapidFix). Language breadth: 30+ languages SAST</t>
  </si>
  <si>
    <t xml:space="preserve">- One of few vendors with SAST+DAST+IAST+SCA+API natively and deployable air-gapped on Kubernetes
- Intelligent Finding Analytics (ML triage, mature)
- AppScan RapidFix agentic triage and fix recommendations, with org and asset-group admin controls (Sept 2026)
- AI SAST business-logic flaw detection (ASoC, Sept 2026)
- AppScan MCP server for natural-language access to findings
- Auto-correlation of SAST/DAST/IAST findings
- Multi-application consolidated reporting and DAST issue retest (Sept 2026)
- Marketplace subscription model with published promotions
- IAST Python agent adds FastAPI support and generative AI monitoring for OpenAI Python library usage (ASoC, Sept 2026)</t>
  </si>
  <si>
    <t xml:space="preserve">GitHub, GitLab, Azure DevOps, Jenkins, Bamboo, Jira, ServiceNow, IDEs (VS Code, IntelliJ, Eclipse, Visual Studio), API gateways, CI/CD plugins</t>
  </si>
  <si>
    <t xml:space="preserve">Banking, insurance, public sector, APAC/EMEA enterprises with on-prem mandates; logos not verified</t>
  </si>
  <si>
    <t xml:space="preserve">- Gartner MQ AST Oct 2025: evaluated (placement not verified; historically Challenger/Visionary)
- Forrester Wave SAST Q3 2025: evaluated (placement not verified)
- Gartner MQ SSCS June 2026: not verified
- ASPM radars: not rated</t>
  </si>
  <si>
    <t xml:space="preserve">- Weak third-party scanner ingestion: ASPM value is limited to AppScan's own engines
- Smaller developer-community mindshare than Snyk/GitHub; IDE/coding-agent ecosystem is thinner
- Sales and support experience varies by region
- AppScan 360 self-managed requires Kubernetes operations skills
- Pricing transparent on marketplace but enterprise deals still negotiated</t>
  </si>
  <si>
    <t xml:space="preserve">Subscription via HCL AppScan marketplace (per scan, per application, per user tiers) and enterprise licensing</t>
  </si>
  <si>
    <t xml:space="preserve">Marketplace pricing published per plan; promotions advertised; enterprise custom (exact figures not captured)</t>
  </si>
  <si>
    <t xml:space="preserve">Regulated enterprises needing air-gapped SAST/DAST/IAST/SCA in one self-managed stack at a lower price point than Fortify/Black Duck</t>
  </si>
  <si>
    <t xml:space="preserve">2026-09-29: [Release] AppScan on Cloud Sept 29 update: IAST Python agent 1.0.3 adds FastAPI support and generative AI monitoring for applications using the OpenAI Python library; IAST .NET agent 1.17.3 adds log directory configuration via web.config or appsettings.json and an updated Regex Timeout Validation rule.
2026-09-27: [Release] AppScan on Cloud Sept 27 update adds AI SAST business-logic flaw detection in scan configuration, per-feature admin controls to enable/disable AI Assistant, RapidFix, AI SAST and DAST IFA by asset group, multi-application consolidated reporting, bulk repository onboarding, direct SCM/ZIP scanning for SCA, custom proxy for private-site DAST and single-issue retest.</t>
  </si>
  <si>
    <t xml:space="preserve">- https://www.hcl-software.com/appscan
- https://www.forrester.com/blogs/announcing-the-forrester-wave-static-application-security-testing-solutions-and-buyers-guide-ai-brings-opportunity-to-sast-solutions/</t>
  </si>
  <si>
    <t xml:space="preserve">SaaS (US, EU, CA regions); Kondukto historically offered on-prem/self-hosted, current on-prem availability not confirmed on Invicti page</t>
  </si>
  <si>
    <t xml:space="preserve">Modules: ASPM correlation (110+ integrations; ingests DAST, SAST, SCA, API, container, IaC), native DAST/API (Invicti/Acunetix, proof-based scanning), asset discovery, autofix (none verified), SBOM (ingest). Language breadth: n/a (aggregator) plus DAST language-agnostic</t>
  </si>
  <si>
    <t xml:space="preserve">- Consolidate and dedup across tools with suppression rules
- Proof-based DAST confirms exploitability before findings enter queue
- Automated remediation workflows (Jira, Slack, GitHub)
- Continuous asset/endpoint discovery
- Developer training integrations (Secure Code Warrior, SecureFlag)
- Hierarchical risk dashboards by business unit
- Agentic Pentesting launched (2026)</t>
  </si>
  <si>
    <t xml:space="preserve">110+ incl. Jenkins, GitLab, Azure Pipelines, Jira, ServiceNow, Azure Boards, Okta, Azure AD, major SAST/SCA/DAST scanners</t>
  </si>
  <si>
    <t xml:space="preserve">Mid-market and enterprise DAST customers; logos not verified</t>
  </si>
  <si>
    <t xml:space="preserve">- IDC MarketScape Worldwide DAST 2026 (Sept 2026): Invicti a Leader among 16 vendors (covers Invicti DAST, not the ASPM product; per vendor press release)
- ASPM product: Not rated (Invicti historically Challenger/Niche in MQ AST; 2025 placement not verified)</t>
  </si>
  <si>
    <t xml:space="preserve">- DAST-led vendor; SAST/SCA are ingested not native
- Post-acquisition integration of Kondukto still maturing
- Kondukto's on-prem heritage may not carry into Invicti SaaS
- Invicti is PE-owned (Summit Partners) with acquisition/portfolio risk
- Smaller AI roadmap than leaders</t>
  </si>
  <si>
    <t xml:space="preserve">Enterprise subscription; Kondukto historically per developer/asset</t>
  </si>
  <si>
    <t xml:space="preserve">Organisations with strong DAST needs who want a low-friction aggregator and proof-based exploitability</t>
  </si>
  <si>
    <t xml:space="preserve">2026-09-29: [Release] Invicti announced it was named a Leader in the IDC MarketScape: Worldwide Dynamic Application Security Testing 2026 Vendor Assessment (doc US54119126, 16 vendors evaluated), citing proof-based scanning, AI-assisted login and form filling, and multilayer API discovery. The assessment covers Invicti DAST; ASPM is not specifically assessed. Source is the vendor press release.</t>
  </si>
  <si>
    <t xml:space="preserve">- https://www.invicti.com/product/aspm/
- https://appsecsanta.com/aspm-tools</t>
  </si>
  <si>
    <t xml:space="preserve">Hybrid: SaaS or self-managed with federation; air-gap supported (self-hosted Artifactory/Xray)</t>
  </si>
  <si>
    <t xml:space="preserve">Modules: SCA (Xray, binary/artifact-level for software and AI models), contextual analysis, secrets (source and binaries), SAST (Advanced Security), IaC, container, runtime integrity, Curation (policy-driven OSS/AI component gating), SBOM (strong), AppTrust (governance, policy-as-code, prompt-to-release traceability), AI Catalog (models, agent skills, plugins, MCP servers), MCP Registry and Agent Skills Registry. DAST: none. ASPM: artifact-centric release governance rather than finding aggregation. Language breadth: all package types supported by Artifactory</t>
  </si>
  <si>
    <t xml:space="preserve">- Single system of record from package to production with 99.99% SLA
- Curation blocks malicious/unwanted OSS and AI components before download
- AI Catalog treats models, MCP servers and agent skills as governed artifacts
- AppTrust compliance evidence and release gates
- Runtime security correlates artifacts to running workloads
- Self-managed and air-gapped deployments for regulated sectors</t>
  </si>
  <si>
    <t xml:space="preserve">All major CI/CD, IDEs, GitHub (deep partnership), GitLab, Jira, ServiceNow, cloud providers, Kubernetes, Hugging Face, NVIDIA NIM</t>
  </si>
  <si>
    <t xml:space="preserve">Large enterprises across all sectors that standardise on Artifactory; logos not verified</t>
  </si>
  <si>
    <t xml:space="preserve">- Gartner MQ SSCS June 2026: rated (JFrog promotes the report; Leader placement reported but not independently verified)
- Not rated in MQ AST / Forrester SAST / ASPM radars</t>
  </si>
  <si>
    <t xml:space="preserve">- Artifact-centric: source SAST is secondary and no DAST
- Not a finding-aggregation ASPM
- High total cost when adding Advanced Security, Curation, Runtime on top of Artifactory
- Value depends on Artifactory being the standard binary repo
- Complex licensing tiers</t>
  </si>
  <si>
    <t xml:space="preserve">Subscription tiers (Pro, Enterprise X, Enterprise+) plus add-ons; consumption for SaaS</t>
  </si>
  <si>
    <t xml:space="preserve">Published entry tiers start in low hundreds USD/month for SaaS; Enterprise+ with security add-ons custom (typically six figures)</t>
  </si>
  <si>
    <t xml:space="preserve">Enterprises standardised on Artifactory needing supply chain gating, SBOM/AI-BOM governance and air-gapped deployment</t>
  </si>
  <si>
    <t xml:space="preserve">- https://jfrog.com/platform/
- https://jfrog.com/gartner-magic-quadrant/</t>
  </si>
  <si>
    <t xml:space="preserve">SaaS; scanners run in customer CI/GitHub Actions</t>
  </si>
  <si>
    <t xml:space="preserve">Modules: SAST (Semgrep, Gosec), secrets (Gitleaks, TruffleHog), SCA (OSV-Scanner, npm audit, Nancy), IaC/container (Trivy, KICS, Kubescape), DAST (OWASP ZAP), cloud (Prowler), SCM posture (Legitify), SBOM (Syft), ASPM-lite (security plans, unified findings), autofix (auto-remediation PRs). Language breadth: 13+ languages</t>
  </si>
  <si>
    <t xml:space="preserve">- Pre-packaged 'security plans' mapped to SOC 2 and other frameworks
- One-click activation across repos; change-based scanning
- Bundles best open-source scanners with a unified UI
- Auto-remediation PRs
- Developer-first, low-config
- Torq ownership (if confirmed) points to SOAR-style automation integration</t>
  </si>
  <si>
    <t xml:space="preserve">GitHub, GitLab, AWS, Jira, Slack, Linear</t>
  </si>
  <si>
    <t xml:space="preserve">Start-ups and mid-market; logos not verified</t>
  </si>
  <si>
    <t xml:space="preserve">- Depends on open-source engines; enterprise SAST accuracy limited
- Acquired by Torq (May 2026) to feed an AI SOC context graph; standalone ASPM roadmap uncertain and re-platforming possible
- Thin third-party ingestion
- No on-prem
- Small vendor support scale</t>
  </si>
  <si>
    <t xml:space="preserve">Per developer subscription; free tier historically</t>
  </si>
  <si>
    <t xml:space="preserve">Small dev-first teams wanting fast, opinionated coverage; not a fit for enterprise consolidation</t>
  </si>
  <si>
    <t xml:space="preserve">- https://www.jit.io/
- https://appsecsanta.com/aspm-tools</t>
  </si>
  <si>
    <t xml:space="preserve">SaaS; broker/connector for on-prem SCM; on-prem platform not documented</t>
  </si>
  <si>
    <t xml:space="preserve">Modules: SAST (native, enterprise-grade per vendor), SCA (native), secrets (detection and prevention incl. IDE), IaC, SBOM, CI/CD and SDLC posture (pipelines, build systems), ASPM correlation (120+ integrations), autofix (agentic remediation), AI code discovery. DAST/container: via ingestion. Language breadth: native SAST mainstream languages (list not verified)</t>
  </si>
  <si>
    <t xml:space="preserve">- Maps entire SDLC (repos, pipelines, build servers, artifacts) for supply chain posture
- Agentic AppSec: autonomous prioritisation and remediation, extended to dependency (SCA) fixes with verified PRs (Sept 2026, per vendor)
- VibeGuard: blocks vulnerabilities in IDE at the moment AI code is generated (Cursor, Copilot)
- Legit MCP server for AI-native security intelligence
- Native SAST/SCA/secrets alongside third-party ingestion
- 120+ integrations, Fortune 500 pipeline scale</t>
  </si>
  <si>
    <t xml:space="preserve">GitHub, GitLab, Azure DevOps, Bitbucket, Jenkins, Jira, ServiceNow, Slack, SAST/SCA/DAST scanners, cloud providers, 120+ total</t>
  </si>
  <si>
    <t xml:space="preserve">AIG, Freddie Mac, Kraft Heinz, Netskope (vendor site); insurance, financial services, CPG</t>
  </si>
  <si>
    <t xml:space="preserve">- Gartner Market Guide ASPM: representative vendor
- Gartner MQ SSCS June 2026: evaluated (placement not verified)
- GigaOm Radar ASPM: rated (position unverified)
- Gartner MQ AST / Forrester: not rated</t>
  </si>
  <si>
    <t xml:space="preserve">- SaaS-only
- Native scanners are newer than incumbents; many clients keep a separate SAST
- Enterprise-focused pricing with little transparency
- Smaller vendor; consolidation/acquisition risk
- Runtime/cloud context thinner than CNAPP-based ASPMs</t>
  </si>
  <si>
    <t xml:space="preserve">Enterprise subscription (contact sales), per developer</t>
  </si>
  <si>
    <t xml:space="preserve">Enterprises focused on SDLC/supply chain posture and governance of AI-assisted development across many pipelines</t>
  </si>
  <si>
    <t xml:space="preserve">2026-09-30: [Feature launch] Legit extended Agentic Remediation from first-party code findings to open-source dependencies: the agent locates the vulnerable package in the dependency tree, picks the minimal safe version bump, updates manifests and lockfiles, rescans before and after, and opens a pull request only when the vulnerability is resolved and no new issue is introduced. Major-version upgrades get AI-assisted code adaptation proposals marked separately from verified fixes. Vendor claim; supported ecosystems and GA or beta status not stated.</t>
  </si>
  <si>
    <t xml:space="preserve">- https://www.legitsecurity.com/
- https://appsecsanta.com/aspm-tools</t>
  </si>
  <si>
    <t xml:space="preserve">SaaS; on-prem/self-hosted option for SCA and SAST agents historically available; hybrid</t>
  </si>
  <si>
    <t xml:space="preserve">Modules: SCA (with reachability, EPSS, CVSS 4.0), SAST (AI-assisted), container, DAST, API security, EOL package support, Renovate (automated dependency updates with Smart Merge Control), SBOM/AI-BOM, Mend AI (AI red teaming, prompt hardening, runtime guardrails, model discovery), ASPM-lite (own findings). Third-party ingestion: limited. Language breadth: SCA 200+ package managers; SAST mainstream languages</t>
  </si>
  <si>
    <t xml:space="preserve">- Renovate automated remediation at scale
- Reachability-based SCA prioritisation
- Mend AI: AI-BOM, model discovery, red teaming, runtime guardrails for LLM apps
- Native SCM integrations (GitHub, GitLab, Bitbucket, Azure)
- EOL support patches
- DAST/API added for broader coverage</t>
  </si>
  <si>
    <t xml:space="preserve">GitHub, GitLab, Bitbucket, Azure DevOps, Jenkins, Jira, ServiceNow, Artifactory, IDEs</t>
  </si>
  <si>
    <t xml:space="preserve">Enterprise software, financial services; logos not verified</t>
  </si>
  <si>
    <t xml:space="preserve">- Forrester Wave SAST Q3 2025: evaluated (placement not verified)
- Gartner MQ AST Oct 2025: placement not verified
- Gartner MQ SSCS June 2026: placement not verified</t>
  </si>
  <si>
    <t xml:space="preserve">- Not an aggregator ASPM
- SAST accuracy trails leaders
- Product breadth expansion (DAST, API, AI) is recent and uneven
- Pricing not transparent
- Mid-tier vendor with acquisition risk</t>
  </si>
  <si>
    <t xml:space="preserve">Per developer/contributor subscription; Renovate OSS free, Renovate Enterprise paid</t>
  </si>
  <si>
    <t xml:space="preserve">Organisations prioritising dependency hygiene automation (Renovate) and LLM application security alongside SCA</t>
  </si>
  <si>
    <t xml:space="preserve">2026-10-08: [Pricing change] Mend.io moved 184 open source organisations to the Renovate Community (OSS) plan (per vendor blog); this is a plan change for OSS maintainers, not a list-price change for commercial customers. An Oct 15 vendor post also promotes Mend AI Guardrails inspecting outbound data from sandboxed AI agents, without a launch or GA statement.</t>
  </si>
  <si>
    <t xml:space="preserve">- https://www.mend.io/
- https://www.mend.io/blog/
- https://www.forrester.com/blogs/announcing-the-forrester-wave-static-application-security-testing-solutions-and-buyers-guide-ai-brings-opportunity-to-sast-solutions/</t>
  </si>
  <si>
    <t xml:space="preserve">SaaS; on-prem/private deployment for enterprise reported (unverified; vendor page fetch blocked)</t>
  </si>
  <si>
    <t xml:space="preserve">Modules: autofix only (consumes SAST/SCA findings from Checkmarx, Snyk, CodeQL/GitHub, SonarQube, Semgrep, Fortify, Veracode; list per vendor materials, unverified this session), Vibe Shield for AI-generated code in IDE. No scanners of its own; no ASPM. Language breadth: Java, JS/TS, Python, C#, Go, PHP, C/C++ (reported)</t>
  </si>
  <si>
    <t xml:space="preserve">- Vendor-neutral fix generation with deterministic templates plus AI
- Auto-PRs from any supported scanner's SARIF
- Mobb Vibe Shield: fixes vulnerabilities as AI assistants generate code
- Fix verification and developer explanation
- MCP server for coding agents (reported)</t>
  </si>
  <si>
    <t xml:space="preserve">GitHub, GitLab, Azure DevOps, Bitbucket, Checkmarx, Snyk, CodeQL, SonarQube, Semgrep, Fortify, Veracode, Jira</t>
  </si>
  <si>
    <t xml:space="preserve">Enterprises with large SAST backlogs; RSAC 2023 Innovation Sandbox finalist; logos not verified</t>
  </si>
  <si>
    <t xml:space="preserve">Not rated (Gartner Cool Vendor mention reported; unverified)</t>
  </si>
  <si>
    <t xml:space="preserve">- Single-purpose; must sit on top of another scanner
- Fix quality varies by vulnerability class and language
- Vendors are bundling their own autofix, squeezing the neutral niche
- Small vendor viability risk
- Pricing not public</t>
  </si>
  <si>
    <t xml:space="preserve">Per developer or per fix subscription; free community tier</t>
  </si>
  <si>
    <t xml:space="preserve">Clients with heterogeneous scanners who want one remediation engine without switching scanners</t>
  </si>
  <si>
    <t xml:space="preserve">- https://www.mobb.ai/
- https://www.forrester.com/blogs/announcing-the-forrester-wave-static-application-security-testing-solutions-and-buyers-guide-ai-brings-opportunity-to-sast-solutions/</t>
  </si>
  <si>
    <t xml:space="preserve">Modules (reported, unverified): AI security engineer agent covering SAST, SCA, secrets, PR review, triage, autofix, developer Q&amp;A; no DAST; no aggregation ASPM</t>
  </si>
  <si>
    <t xml:space="preserve">- Positions as an autonomous 'AI AppSec engineer' teammate
- Triage and fix via PRs
- Developer chat in PRs/Slack
- Reported Australian/US start-up with seed/Series A funding (unverified)</t>
  </si>
  <si>
    <t xml:space="preserve">GitHub, GitLab, Slack, Jira (reported)</t>
  </si>
  <si>
    <t xml:space="preserve">- Unverified claims this session
- Small vendor
- Overlaps with incumbents' agents
- No DAST/ASPM
- Enterprise readiness unknown</t>
  </si>
  <si>
    <t xml:space="preserve">Watch-list: small teams wanting an AI teammate rather than a platform</t>
  </si>
  <si>
    <t xml:space="preserve">Hybrid: Fortify on Demand / Core Application Security (SaaS), Fortify SSC + ScanCentral (on-prem, air-gap supported), sovereign and private cloud</t>
  </si>
  <si>
    <t xml:space="preserve">Modules: SAST (Fortify Static Code Analyzer, 33+ languages), DAST (WebInspect / Fortify DAST), SCA (via Debricked acquisition), ASPM (unified reporting across Fortify tools; limited third-party ingestion), secrets/IaC (within SAST rulepacks), container (limited), API (DAST-based), autofix (Remediation Aviator). Language breadth: among the widest SAST language sets (33+ languages, 1,600+ vulnerability categories)</t>
  </si>
  <si>
    <t xml:space="preserve">- Broadest SAST language coverage incl. legacy (COBOL, ABAP, PL/SQL)
- Hybrid SaaS/on-prem parity with sovereign deployment options
- Aviator AI family: Audit Assistant (FP reduction), Remediation Aviator (fix suggestions), DAST Aviator (login macro automation)
- ASPM-style unified reporting and policy across Fortify products
- Deep IDE and CI integrations; DefectDojo listed as integration
- Long enterprise support tenure</t>
  </si>
  <si>
    <t xml:space="preserve">IDEs (Eclipse, Visual Studio, VS Code, JetBrains; VS Code extension 26.4 also supports AWS Kiro and Google Antigravity), GitHub, GitLab, Bitbucket, Jenkins, Azure DevOps, AWS/GCP/Oracle CI, Gradle/Ant, Jira, ServiceNow, DefectDojo, GRC tools</t>
  </si>
  <si>
    <t xml:space="preserve">Government, defence, banking, telco, large legacy-stack enterprises; logos not verified this session</t>
  </si>
  <si>
    <t xml:space="preserve">- Gartner MQ AST Oct 2025: Leader (11th consecutive year)
- Forrester Wave SAST Q3 2025: evaluated (placement not verified)
- Gartner MQ SSCS June 2026: placement not verified
- Gartner Market Guide ASPM: not verified
- GigaOm Radar ASPM: not verified</t>
  </si>
  <si>
    <t xml:space="preserve">- Slowest agentic/MCP story among the big-four SAST vendors on verifiable product pages
- ASPM is largely Fortify-internal; weak third-party scanner ingestion vs pure-play ASPM
- SCA (Debricked) less mature than Black Duck/Snyk
- On-prem SSC is powerful but heavy to operate
- OpenText corporate strategy (portfolio simplification, divestiture speculation) is a watch item; unverified</t>
  </si>
  <si>
    <t xml:space="preserve">Enterprise subscription; per-developer or per-application; FoD per assessment/app; Aviator add-ons</t>
  </si>
  <si>
    <t xml:space="preserve">Government and legacy-heavy enterprises needing on-prem/sovereign SAST with the widest language coverage and mature ML auditing</t>
  </si>
  <si>
    <t xml:space="preserve">- https://www.opentext.com/products/application-security
- https://blogs.opentext.com/2025-gartner-magic-quadrant-for-application-security-testing-opentext-named-a-leader-11-years-running/
- https://investors.opentext.com/press-releases/press-releases-details/2025/OpenText-Named-a-Leader-in-2025-Gartner-Magic-Quadrant-for-Application-Security-Testing-for-the-11th-Successive-Year/default.aspx</t>
  </si>
  <si>
    <t xml:space="preserve">SaaS; agentless SideScanning; no on-prem</t>
  </si>
  <si>
    <t xml:space="preserve">Modules: SAST (via Opus/own engine, limited), SCA, IaC, container image, secrets, SBOM, ASPM-lite (code findings correlated to live cloud context), CSPM/CWPP/CIEM/DSPM/AI-SPM, AI AppGen Security (shadow AI app builders). DAST: none. Autofix: AI-driven remediation guidance and PRs (scope unverified). Language breadth: mainstream languages (not verified)</t>
  </si>
  <si>
    <t xml:space="preserve">- Agentless code-to-cloud correlation prioritises exploitable vulns over theoretical CVEs
- Orca AI reasoning engine for agents
- AI AppGen Security discovers shadow AI app builders
- Orca MCP server (incl. Claude Compliance API integration)
- Claims to replace 6+ tools incl. SAST/SCA/container
- 30+ integrations</t>
  </si>
  <si>
    <t xml:space="preserve">AWS, Azure, GCP, Alibaba, Slack, Jira, ServiceNow, GitHub, GitLab, Splunk, SIEM/SOAR, Claude Compliance API</t>
  </si>
  <si>
    <t xml:space="preserve">Cloud-native mid-market and enterprise; logos not verified</t>
  </si>
  <si>
    <t xml:space="preserve">- Gartner MQ CNAPP: rated (position not verified)
- Gartner Market Guide ASPM: not verified
- Not rated in AST/SSCS/SAST Wave</t>
  </si>
  <si>
    <t xml:space="preserve">- AppSec scanners are shallow compared with dedicated vendors
- Cloud-only relevance
- Smaller than Wiz/Palo Alto in CNAPP; long-standing acquisition speculation
- No DAST or on-prem
- ASPM correlation limited to cloud context, weak SDLC/pipeline posture</t>
  </si>
  <si>
    <t xml:space="preserve">Enterprise subscription per cloud workload/asset</t>
  </si>
  <si>
    <t xml:space="preserve">Cloud-native clients already on Orca wanting light-touch code scanning correlated to cloud exposure</t>
  </si>
  <si>
    <t xml:space="preserve">https://www.ox.security/</t>
  </si>
  <si>
    <t xml:space="preserve">SaaS; on-prem not documented</t>
  </si>
  <si>
    <t xml:space="preserve">Modules: SAST, SCA, DAST, container, secrets/PII, IaC, SBOM and PBOM (Pipeline Bill of Materials), API exposure, ASPM correlation, autofix, agentic pentesting, OX Cloud runtime for AI agents. Language breadth: mainstream languages (list not verified)</t>
  </si>
  <si>
    <t xml:space="preserve">- Evidence-based prioritisation: aggregation plus business context reduces alerts to ~3% requiring action (vendor example)
- PBOM for pipeline supply chain
- OX VibeSec: governance for AI-generated code inside AI editors/IDEs, incl. vetting of dependencies installed by agents
- OX Agentic Pentester
- OX Cloud (GA Sept 2026): CSPM, KSPM, DSPM, attack-path mapping, runtime vulnerabilities, AI Detection and Response (AIDR) and Agentic Attack Surface Management for AI agents, models and MCP servers
- Third-party ingestion from SCM, CI/CD, cloud and ticketing</t>
  </si>
  <si>
    <t xml:space="preserve">GitHub, GitLab, Bitbucket, Azure DevOps, Jenkins, Jira, Slack, AWS/Azure/GCP, container registries, Kubernetes</t>
  </si>
  <si>
    <t xml:space="preserve">eToro, SoFi, IBM, Microsoft, Intel, Swisscom (vendor site); fintech, technology, telco</t>
  </si>
  <si>
    <t xml:space="preserve">- Gartner MQ SSCS June 2026: Leader (per OX site)
- Gartner Market Guide ASPM: representative vendor
- GigaOm Radar ASPM: rated (position unverified)
- Gartner MQ AST / Forrester: not rated</t>
  </si>
  <si>
    <t xml:space="preserve">- Shorter track record than incumbents; narrower legacy-system compatibility
- Public reviews cite limited GCP and Jira coverage
- SaaS-only
- Native scanner depth below best-of-breed in SAST
- Venture-backed mid-size vendor: acquisition risk</t>
  </si>
  <si>
    <t xml:space="preserve">Enterprise subscription per developer; free tier for small teams historically</t>
  </si>
  <si>
    <t xml:space="preserve">Teams drowning in scanner noise that want exploitability-first prioritisation plus supply chain/pipeline visibility in one SaaS</t>
  </si>
  <si>
    <t xml:space="preserve">2026-09-16: [Feature GA] OX Cloud is generally available: CNAPP coverage (CSPM, KSPM, DSPM, cloud graph and attack paths, runtime vulnerabilities) plus AI Detection and Response (AIDR) and Agentic Attack Surface Management for AI agents, models and MCP servers, with reachability-based filtering; pricing not disclosed.</t>
  </si>
  <si>
    <t xml:space="preserve">- https://www.ox.security/
- https://guptadeepak.com/tools/top-5-aspm-platforms-2026/
- https://appsecsanta.com/aspm-tools</t>
  </si>
  <si>
    <t xml:space="preserve">https://phoenix.security/</t>
  </si>
  <si>
    <t xml:space="preserve">SaaS/PaaS; hybrid connectors; on-prem not documented</t>
  </si>
  <si>
    <t xml:space="preserve">Modules: ASPM correlation (320+ sources, 30+ scanners), native graph-powered SAST ('Purple' with triple-pass exploit verification), agentic remediation, threat intelligence (300K+ CVEs, 6 scoring systems), supply chain firewall (Blue Shield for npm/pip), pipelineless PR scanning, SBOM ingest; DAST/container via ingestion. Language breadth: mainstream languages (not verified)</t>
  </si>
  <si>
    <t xml:space="preserve">- Ownership attribution via living graph (auto-assign to teams)
- Exposure-based prioritisation with runtime reachability and threat intel
- Agentic Remediation (Green) opens opt-in PRs with human approval; campaigns across thousands of repos
- Bring Your Own Data: no scanner replacement required
- Open-source MIT-licensed CLI (phx) and MCP server (34 tools) for AI assistants and CI automation (Sept 2026)
- Vendor metrics: 78% noise reduction, 5.43M attributed assets</t>
  </si>
  <si>
    <t xml:space="preserve">Snyk, Wiz, Qualys, Prisma, Checkmarx, Veracode, GitHub, GitLab, Jira, ServiceNow, PagerDuty/on-call, service catalogs (Backstage), 320+ sources</t>
  </si>
  <si>
    <t xml:space="preserve">ClearBank, IBM, Ernst &amp; Young, Bazaarvoice (vendor site); 385+ security teams; financial services, consulting</t>
  </si>
  <si>
    <t xml:space="preserve">- Gartner Market Guide ASPM: representative vendor (not verified)
- GigaOm Radar ASPM: rated (position unverified)
- Otherwise not rated</t>
  </si>
  <si>
    <t xml:space="preserve">- Smaller vendor; enterprise support scale and longevity risk
- Native SAST is new and unproven vs incumbents
- Pricing not published
- No on-prem option documented
- Runtime context depends on integrations with CNAPP/EDR</t>
  </si>
  <si>
    <t xml:space="preserve">Enterprise subscription by assets/applications; free assessment</t>
  </si>
  <si>
    <t xml:space="preserve">Organisations needing ownership attribution and exploitability-based prioritisation over an existing scanner estate, at lower cost than ArmorCode</t>
  </si>
  <si>
    <t xml:space="preserve">2026-09-21: [Feature launch] Phoenix Security open-sourced (MIT) a Python CLI ('phx', via pipx) and an MCP server (15 read and 19 write tools, read-only mode) over its v1.27 REST API so teams can query and act on risk posture from the terminal, CI/CD, Claude Code, Cursor, Windsurf or ChatGPT.</t>
  </si>
  <si>
    <t xml:space="preserve">- https://phoenix.security/
- https://appsecsanta.com/aspm-tools</t>
  </si>
  <si>
    <t xml:space="preserve">SaaS; self-hosted/on-prem option reported for enterprise (unverified; vendor page fetch blocked)</t>
  </si>
  <si>
    <t xml:space="preserve">Modules: AI triage (false-positive analysis) and autofix for SAST findings from Sonar, Semgrep, CodeQL, Checkmarx, Snyk and others (reported); codemodder open-source codemod framework; no scanners; no ASPM. Language breadth: Java, Python, JS/TS, C# (reported)</t>
  </si>
  <si>
    <t xml:space="preserve">- Automated PRs hardening code from scanner findings
- AI triage that explains and dismisses false positives
- Codemodder OSS framework for deterministic fixes
- GitHub-native Pixeebot
- Positioned as 'AI AppSec engineer' for backlog burn-down</t>
  </si>
  <si>
    <t xml:space="preserve">GitHub, GitLab, Azure DevOps, SonarQube, Semgrep, CodeQL, Checkmarx, Snyk, Jira</t>
  </si>
  <si>
    <t xml:space="preserve">Enterprises with SonarQube/CodeQL backlogs; logos not verified</t>
  </si>
  <si>
    <t xml:space="preserve">- Single-purpose overlay; vendors' native autofix erodes differentiation
- Language coverage narrower than Mobb
- Small vendor
- Pricing not public
- Unverified on-prem</t>
  </si>
  <si>
    <t xml:space="preserve">Per developer subscription; free for OSS</t>
  </si>
  <si>
    <t xml:space="preserve">Clients wanting to burn down SonarQube/CodeQL/Semgrep backlogs without replacing scanners</t>
  </si>
  <si>
    <t xml:space="preserve">https://seemplicity.ai/</t>
  </si>
  <si>
    <t xml:space="preserve">Modules: remediation operations layer above scanners: routing, ownership, SLA, AI agents for workflow; ingests AppSec, cloud, infra findings. No scanners; ASPM-adjacent (exposure management). Autofix: workflow automation, not code fixes. Language breadth: n/a</t>
  </si>
  <si>
    <t xml:space="preserve">- AI agents automate routing, ownership and SLA tracking
- Vendor figures: 1.5B findings/day processed, up to 80% less manual work
- Sits above ASPM/CNAPP/VM tools
- Executive reporting
- Automated Response Options to apply mitigations that remove exploitability while patches are pending (announced Sept 3, 2026; vendor claim)</t>
  </si>
  <si>
    <t xml:space="preserve">Wiz, Snyk, Checkmarx, Tenable, Qualys, Jira, ServiceNow, Slack, and other scanners (reported)</t>
  </si>
  <si>
    <t xml:space="preserve">Not rated (Gartner exposure management mentions unverified)</t>
  </si>
  <si>
    <t xml:space="preserve">- Does not scan or aggregate independently; overlaps with ArmorCode/Phoenix
- Adds another layer and licence
- Small vendor
- Unverified this session</t>
  </si>
  <si>
    <t xml:space="preserve">Enterprises with an ASPM already in place that still struggle with remediation throughput</t>
  </si>
  <si>
    <t xml:space="preserve">- https://seemplicity.io/
- https://appsecsanta.com/aspm-tools</t>
  </si>
  <si>
    <t xml:space="preserve">SaaS (multi-tenant, regional tenants US/EU/AU); Snyk Broker for private SCM; no true on-prem or air-gap</t>
  </si>
  <si>
    <t xml:space="preserve">Modules: SAST (Snyk Code, DeepCode engine), SCA (Open Source), secrets (Snyk Secrets GA Aug 2026), IaC, container, API (via Probely acquisition, DAST for APIs/web), SBOM, ASPM (AppRisk: asset inventory, coverage, risk scoring), autofix (DeepCode AI Fix / Evo agentic remediation), AI-SPM, Continuous Offensive Security (AI pentesting). Language breadth: 19+ languages for SAST; broad package-manager coverage for SCA</t>
  </si>
  <si>
    <t xml:space="preserve">- Developer-first workflow (IDE, PR, CLI) with native scanners
- AppRisk: application asset discovery, coverage gaps, business-context risk scoring, third-party scanner ingestion (narrower list than pure-play ASPMs)
- Snyk Evo: agent orchestration for remediation, malicious code defence, agentic development security (governs coding-agent tooling and MCP use)
- Reachability analysis in SCA
- Policy engine and reporting/analytics
- Snyk Studio: secure-at-inception integrations with coding agents (e.g., Snowflake Cortex Code, July 2026)</t>
  </si>
  <si>
    <t xml:space="preserve">GitHub, GitLab, Bitbucket, Azure Repos, Jenkins, CircleCI, Jira, ServiceNow, Slack, IDEs (VS Code, JetBrains, Visual Studio, Eclipse), Cursor/Copilot/Claude Code via MCP and Studio, container registries, Kubernetes, cloud providers for AppRisk context</t>
  </si>
  <si>
    <t xml:space="preserve">Technology, financial services, retail; broad SMB-to-enterprise base; specific logos not verified this session</t>
  </si>
  <si>
    <t xml:space="preserve">- Gartner MQ AST Oct 2025: Leader (reported by Snyk; not verified this session)
- Gartner MQ SSCS June 2026: placement not verified
- Forrester Wave SAST Q3 2025: Leader ('innovates faster than its peers')
- GigaOm Radar ASPM: not verified
- Gartner Market Guide ASPM: representative vendor (AppRisk)</t>
  </si>
  <si>
    <t xml:space="preserve">- SaaS-only: no on-prem/air-gap option, a hard blocker for some regulated clients
- AppRisk is strongest inside the Snyk scanner estate; mixed-vendor ingestion is thinner than ArmorCode/Apiiro
- Rapid product renaming (Evo, Studio, ADS, COS) creates confusion about what is GA vs packaged marketing
- Pricing escalates quickly with contributing-developer counts and per-module add-ons
- DAST/API module (Probely) is newer and less proven than SCA/SAST</t>
  </si>
  <si>
    <t xml:space="preserve">Per contributing developer, per product (Open Source, Code, Container, IaC); Team tier published; Enterprise and AppRisk/Evo quoted; free tier for individuals</t>
  </si>
  <si>
    <t xml:space="preserve">Team tier historically listed around $25 per product per contributing developer per month; Enterprise custom, commonly quoted at several hundred USD per developer per year for multi-product bundles (unverified)</t>
  </si>
  <si>
    <t xml:space="preserve">Developer-centric organisations on modern cloud stacks that accept SaaS and want deep IDE/coding-agent integration with a single scanner family</t>
  </si>
  <si>
    <t xml:space="preserve">2026-10-08: [Release] Snyk CLI v1.1308.0 adds HTML report output for 'snyk code test' and 'snyk secrets test' via --html or --html-file-output, changes the experimental 'snyk agent-scan' command to report risk indicators instead of issue codes, and ships reliability fixes for Maven, Gradle and .NET scans.
2026-09-23: [Release] Snyk CLI v1.1307.4 adds an experimental 'snyk studio' command for AI coding tool integration and filtering flags for 'snyk fix --agentic' (severity, breakability, ID exclusion); failed fixes now keep their changes by default, and a routing bug that could silently drop --iac, --docker, --container and --code flags for organisations on the unified test API is fixed.
2026-09-23: [Feature launch] Snyk Evo Agent Supply Chain Security (ADS) installer is now available as signed macOS and Windows packages downloadable from Evo Settings; the installers register scheduled jobs so scans run independently of MDM policies, replacing custom deployment scripts.
2026-09-23: [Release] Snyk announced a change to the Snyk Code Priority Score: a 200-point factor that credited findings whose rules had fix examples was removed (effective 1 Sept 2026). Findings are reordered but none are added, removed or re-rated.
2026-09-18: [Release] Snyk CLI v1.1307.3 maintenance release fixes policy-file handling and patches CVE-2026-63376 and CVE-2026-77465 in the CLI.
2026-09-16: [Feature launch] Snyk DAST adds custom CA certificate support so organisations can upload an internal certificate authority and scan internally signed targets.</t>
  </si>
  <si>
    <t xml:space="preserve">- https://snyk.io/platform/
- https://snyk.io/blog/
- https://snyk.io/blog/snyk-named-a-leader-in-the-2025-forrester-sast-wave-sast-solutions-q3-2025/
- https://snyk.io/lp/forrester-wave-sast/</t>
  </si>
  <si>
    <t xml:space="preserve">Hybrid: cloud and self-hosted; air-gap supported for Repository/Lifecycle/Firewall (verify per component)</t>
  </si>
  <si>
    <t xml:space="preserve">Modules: SCA (Lifecycle), Repository Firewall (malware/policy blocking incl. AI model firewall), Nexus Repository, SBOM Manager, Guide (steers developers and AI agents to safer components), MCP Server for agentic dependency management. SAST: none. DAST: none. Secrets/IaC: none. ASPM: none (supply chain governance). Language breadth: broad ecosystem coverage (Maven, npm, PyPI, NuGet, Go, etc.) and AI models (Hugging Face)</t>
  </si>
  <si>
    <t xml:space="preserve">- Best-known OSS malware intelligence and Firewall blocking
- Nexus One unifies Repository, Firewall, Lifecycle and Guide
- Nexus Repository Pro+ embeds Repository Firewall in the repository to screen packages, AI models and MCP servers requested by developers or AI agents (Oct 2026); Enterprise tier announced to follow
- AI model firewall guides AI coding assistants toward safer components
- MCP Server for agents
- SBOM Manager for regulatory (EU CRA, US EO) needs
- Self-hosted and cloud</t>
  </si>
  <si>
    <t xml:space="preserve">GitHub, GitLab, Jenkins, Azure DevOps, Jira, IDEs, Artifactory (competitive), Kubernetes, cloud</t>
  </si>
  <si>
    <t xml:space="preserve">Financial services, government, defence; logos not verified</t>
  </si>
  <si>
    <t xml:space="preserve">- Gartner MQ SSCS June 2026: rated (placement not verified)
- Not rated in MQ AST / ASPM radars</t>
  </si>
  <si>
    <t xml:space="preserve">- Supply chain only: no SAST/DAST/secrets/ASPM
- Competes with JFrog for repository standard; value hinges on Nexus adoption
- Pricing per developer can be high for Lifecycle + Firewall
- Nexus One is a 2025-2026 repackaging; migration effort for existing customers
- No finding aggregation</t>
  </si>
  <si>
    <t xml:space="preserve">Per developer/user subscription with product bundles; Nexus Repository OSS free; Nexus Repository Pro+ tier (Firewall embedded) launched Oct 2026 and Enterprise tier announced, prices not published</t>
  </si>
  <si>
    <t xml:space="preserve">Organisations standardised on Nexus needing OSS malware blocking and SBOM governance, paired with a separate AST/ASPM platform</t>
  </si>
  <si>
    <t xml:space="preserve">2026-10-14: [Feature launch] Sonatype unveiled Nexus Repository Pro+, a repository tier that embeds Repository Firewall inside Nexus Repository to screen open source packages, AI models and MCP servers at the moment a developer or AI agent requests them, blocking or quarantining malicious, vulnerable or out-of-policy components (333M+ component catalog, per vendor) and suggesting validated upgrade paths. Pro+ is 'available today'; a Nexus Repository Enterprise tier is due 'in the coming weeks'. No pricing published.</t>
  </si>
  <si>
    <t xml:space="preserve">- https://www.sonatype.com/
- https://www.sonatype.com/press-releases
- https://www.sonatype.com/press-releases/sonatype-unveils-nexus-repository-pro-plus
- https://www.reversinglabs.com/blog/5-takeaways-2026-gartner-magic-quadrant-sscs</t>
  </si>
  <si>
    <t xml:space="preserve">SaaS (historical)</t>
  </si>
  <si>
    <t xml:space="preserve">Modules (historical): ASPM aggregator with 70+ scanner integrations, asset inventory, ownership mapping, risk scoring, remediation workflows; no native scanners; SBOM ingest. Autofix: none</t>
  </si>
  <si>
    <t xml:space="preserve">- Historically strong ownership/context mapping and low-friction onboarding
- Acquired by Checkmarx Dec 2025; Tromzo's reasoning engine positioned as a core intelligence layer across Checkmarx One and the Checkmarx Assist agents, with new Assist agents planned for early 2026
- Existing customers should confirm roadmap and migration terms</t>
  </si>
  <si>
    <t xml:space="preserve">GitHub, GitLab, Jira, Snyk, Checkmarx, Veracode, Wiz, etc. (historical)</t>
  </si>
  <si>
    <t xml:space="preserve">Gartner Market Guide ASPM: representative vendor (2023-2024; historical)</t>
  </si>
  <si>
    <t xml:space="preserve">- Product independence ended; roadmap now tied to Checkmarx One (acquisition announced Dec 9, 2025, terms not disclosed)
- Do not shortlist standalone
- Standalone product page no longer exists (redirects to checkmarx.com)</t>
  </si>
  <si>
    <t xml:space="preserve">Historically per application/asset</t>
  </si>
  <si>
    <t xml:space="preserve">Not recommended as a standalone contender in 2026</t>
  </si>
  <si>
    <t xml:space="preserve">- https://www.tromzo.com/
- https://checkmarx.com/press-releases/</t>
  </si>
  <si>
    <t xml:space="preserve">https://www.veracode.com/products/</t>
  </si>
  <si>
    <t xml:space="preserve">SaaS (US, EU, Federal instances); no general on-prem; Risk Manager is SaaS</t>
  </si>
  <si>
    <t xml:space="preserve">Modules: SAST (binary/static, IDE scan, pipeline scan), SCA, DAST (web, API), container/IaC, secrets (within container/IaC and SAST), SBOM, ASPM (Risk Manager: 50+ integrations, tool-agnostic dedup/normalise/prioritise), autofix (Veracode Fix), Package Firewall (from Phylum acquisition, Jan 2025). Language breadth: 100+ languages/frameworks for static (vendor claim)</t>
  </si>
  <si>
    <t xml:space="preserve">- Risk Manager ASPM with 'Best Next Actions' prioritisation, root-cause and owner attribution, ticket-ready fixes
- Tool-agnostic ingestion (50+ integrations incl. cloud security tools) with two-way Jira/ServiceNow sync
- Policy engine and compliance reporting (long-standing strength)
- Universal Connector for custom sources
- Veracode Fix AI remediation trained on curated reference patches
- Package Firewall blocks malicious/policy-violating packages pre-build</t>
  </si>
  <si>
    <t xml:space="preserve">GitHub, GitLab, Azure DevOps, Bitbucket, Jenkins, Jira (two-way), ServiceNow (two-way), IDEs, 40+ SAST integrations, cloud security tools into Risk Manager</t>
  </si>
  <si>
    <t xml:space="preserve">Financial services, healthcare, public sector (FedRAMP), large enterprise; specific logos not verified this session</t>
  </si>
  <si>
    <t xml:space="preserve">- Gartner MQ AST Oct 2025: Leader
- Forrester Wave SAST Q3 2025: Leader
- Gartner MQ SSCS June 2026: placement not verified
- Gartner Market Guide ASPM: representative vendor (Risk Manager)
- GigaOm Radar ASPM: not verified</t>
  </si>
  <si>
    <t xml:space="preserve">- No on-prem/air-gap deployment
- Slower AI/agentic roadmap than Snyk/Checkmarx; no verified MCP server or named agents on product pages
- Binary-upload SAST model is accurate but slower in fast CI loops
- Risk Manager (Longbow, acquired 2024) is still integrating with the core platform UX
- PE-owned (TA Associates) so ownership change risk exists; pricing is premium and per-app/per-scan models can be opaque</t>
  </si>
  <si>
    <t xml:space="preserve">Enterprise subscription; historically per application profile / per scan type, moving to per-developer bundles; Risk Manager quoted separately</t>
  </si>
  <si>
    <t xml:space="preserve">Not publicly disclosed; market anecdotes: mid-to-high five figures per year for mid-size estates, six figures for large programmes (unverified)</t>
  </si>
  <si>
    <t xml:space="preserve">Compliance-driven enterprises and regulated industries that value policy governance and audit-grade reporting over bleeding-edge agentic features</t>
  </si>
  <si>
    <t xml:space="preserve">2026-10-13: [Release] Integration releases between Oct 6 and Oct 13, 2026: GitHub Workflow Integration v2.1.9 (predependency_command for static scans, build_runs_on for SCA scans, fix for stuck check runs), GitLab Workflow Integration v2.1.9 (predependency_command and policy parameters, merge blocking when break-build is enabled, Oct 6), Azure DevOps Workflow Integration v2.4.5 (policy parameter for IaC scans, Oct 7), Java API wrapper v26.10.20.0 and .1 (Git repository and commit metadata auto-attached to Static Analysis scans, Oct 7 and 9) and Veracode Scan for JetBrains v1.8.1 (IDE versions 2024.2 to 2026.3, Oct 8).
2026-09-16: [Release] Integration updates: GitHub Workflow Integration v2.1.7 adds a policy parameter for IaC scans; Veracode Integration for Jira Server v5.0.2 adds Jira 11 and Java 21 support (Veracode Fix for SCA in the GitHub workflow remains Limited Availability from Sept 8).</t>
  </si>
  <si>
    <t xml:space="preserve">- https://www.veracode.com/products/
- https://www.veracode.com/products/risk-manager/
- https://www.veracode.com/blog/leader-in-sast-forrester-wave-2025/
- https://www.veracode.com/resources/analyst-reports/magic-quadrant-leader-application-security-testing/</t>
  </si>
  <si>
    <t xml:space="preserve">https://www.wiz.io/</t>
  </si>
  <si>
    <t xml:space="preserve">SaaS; Wiz Outpost for in-tenant scanning; no on-prem control plane</t>
  </si>
  <si>
    <t xml:space="preserve">Modules: SAST (native, added 2025), SCA, secrets, IaC, container/image, SBOM, CI/CD pipeline, ASPM correlation (code-to-cloud on Wiz Security Graph), autofix (Wiz Green agent opens PRs; Dazz remediation engine), plus CNAPP (CSPM, CWPP, CDR, DSPM, AI-SPM). DAST: none. Language breadth: mainstream languages (list not verified)</t>
  </si>
  <si>
    <t xml:space="preserve">- Code-to-cloud-to-runtime correlation on one context graph
- Wiz Green agent turns risks into code fixes via PRs; Wiz Red (automated pentesting/attack paths), Wiz Blue (threat hunting); agents now also in Wiz for Gov (Oct 2026)
- Wiz AI SAST for business-logic and access-control flaws, Public Preview for Wiz Code customers (Oct 2026)
- Dazz (acquired Nov 2024) remediation and root-cause engine now embedded
- Wiz Workflows GA with Remediation and Response in preview (Aug 2026)
- Wiz MCP and WIN partner ecosystem
- Continuous Vulnerability Assessment (Sept 2026)</t>
  </si>
  <si>
    <t xml:space="preserve">AWS, Azure, GCP, OCI, Alibaba; GitHub, GitLab, Bitbucket, Azure DevOps; Jira, ServiceNow, Slack; SIEM/SOAR; ingests third-party scanners (Snyk, Checkmarx, etc.) into the graph</t>
  </si>
  <si>
    <t xml:space="preserve">Large share of Fortune 100 cloud-native enterprises (vendor claim); Snowflake cited in Wiz Red research; logos not verified</t>
  </si>
  <si>
    <t xml:space="preserve">- Forrester Wave Proactive Security Platforms Q3 2026 (Sept 2026): Leader, highest possible scores in 8 criteria incl. application visibility and remediation augmentation
- Gartner Market Guide ASPM: representative vendor
- Gartner MQ CNAPP: Leader (2025; not verified this session)
- GigaOm Radar ASPM: rated (position unverified)
- Gartner MQ AST / Forrester SAST: not rated</t>
  </si>
  <si>
    <t xml:space="preserve">- AppSec is an extension of a cloud platform: SAST/SCA depth trails dedicated vendors and no DAST; the new AI SAST is Public Preview only with no published language list
- Cloud-first: little value for on-prem, mainframe or non-cloud workloads
- Premium pricing tied to cloud workload counts
- Google ownership (acquisition closed March 2026): integration and pricing/packaging change risk; continued multicloud support is a vendor statement
- Consolidation into CNAPP creates single-vendor concentration risk</t>
  </si>
  <si>
    <t xml:space="preserve">Enterprise subscription based on cloud workloads/resources; Wiz Code priced per developer or bundled</t>
  </si>
  <si>
    <t xml:space="preserve">Not publicly disclosed; typically six to seven figures per year for large cloud estates (unverified)</t>
  </si>
  <si>
    <t xml:space="preserve">Cloud-native enterprises already on Wiz that want code findings correlated to live cloud exposure and auto-PR remediation</t>
  </si>
  <si>
    <t xml:space="preserve">2026-10-14: [Feature launch] Wiz AI Agents (Green, Red, Blue) arrive in Wiz for Gov, the FedRAMP environment for US public sector customers (per vendor blog). A companion post the same day describes centralising third-party AppSec scanners in Wiz as part of an 'ASPM in the AI era' series.
2026-10-06: [Feature launch] Wiz introduced Wiz AI SAST, an AI code scanner (Atlas-based harness, vendor-agnostic models including Google DeepMind cybermodels per vendor) that targets intent-dependent flaws such as broken access control and IDOR, correlates findings with production context on the Security Graph and feeds existing policy and remediation workflows. It is available now in Public Preview to all Wiz Code customers; languages and pricing are not stated.
2026-09-24: [Release] Wiz named a Leader in The Forrester Wave: Proactive Security Platforms, Q3 2026, with top scores in cloud visibility, application visibility, exposure validation, remediation augmentation, platform cohesion, innovation and roadmap; Forrester cites the Green Agent tracing risks back to code and IaC.
2026-09-22: [Feature GA] Wiz MCP WIN partners endpoint is GA, letting partner and customer AI agents (Claude Code, Cursor, GitHub Copilot) pull Wiz Issues, Findings and attack paths on demand and build WIN integrations with live API knowledge.</t>
  </si>
  <si>
    <t xml:space="preserve">- https://www.wiz.io/
- https://www.wiz.io/blog
- https://appsecsanta.com/aspm-tools</t>
  </si>
  <si>
    <t xml:space="preserve">SaaS; self-hosted option not confirmed on site (docs referenced)</t>
  </si>
  <si>
    <t xml:space="preserve">Modules: AI-native SAST incl. business-logic and auth flaws, dependency scanning, IaC, secrets, runtime environment scanning, PR reviews, autofix (patches that compile and pass tests). DAST: none. ASPM: none. Language breadth: mainstream languages (not enumerated)</t>
  </si>
  <si>
    <t xml:space="preserve">- LLM-driven SAST claiming 2x findings with 75% fewer false positives
- Zero-config security model inference
- Autofix patches validated by compile/test
- PR inline reviews
- 300k+ scans/month; Fortune 500 users; curl maintainer endorsement
- RSAC 2026 Innovation Sandbox Top 10 finalist</t>
  </si>
  <si>
    <t xml:space="preserve">GitHub, GitLab, Bitbucket, Azure DevOps, Jira, Linear, Slack</t>
  </si>
  <si>
    <t xml:space="preserve">Aptos Labs, curl project, Fortune 500 (vendor site); technology</t>
  </si>
  <si>
    <t xml:space="preserve">- RSAC 2026 Innovation Sandbox Top 10 finalist
- otherwise not rated</t>
  </si>
  <si>
    <t xml:space="preserve">- Non-deterministic results complicate compliance evidence and repeatability
- Cost of LLM scanning at scale
- Young company; enterprise features (RBAC, reporting) thin
- No DAST/ASPM
- Data-residency and code-egress concerns for regulated clients</t>
  </si>
  <si>
    <t xml:space="preserve">Subscription per repo/developer (contact sales)</t>
  </si>
  <si>
    <t xml:space="preserve">Teams seeking a second-opinion AI SAST for logic flaws alongside a deterministic scanner</t>
  </si>
  <si>
    <t xml:space="preserve">https://faradaysec.com/</t>
  </si>
  <si>
    <t xml:space="preserve">Self-hosted (Community, Enterprise) / SaaS (Cloud)</t>
  </si>
  <si>
    <t xml:space="preserve">Modules: vulnerability management aggregator (100+ tool plugins), Agents Dispatcher for remote scanning, Faraday Enrichment (prioritisation), Faraday Cart (attack simulation), Faraday OPS (external attack surface), pentest collaboration/reporting. No native SAST/SCA/DAST engines (orchestrates ZAP, Nuclei, Nmap, etc.). ASPM: partial (infra/pentest-centric). Autofix: none. Language breadth: n/a</t>
  </si>
  <si>
    <t xml:space="preserve">- Open-source vulnerability manager with 100+ integrations
- Collaborative pentest workflow and reporting
- AI-powered continuous pentesting with triage (commercial)
- Agent dispatcher for distributed scanning
- Self-hostable
- MCP Server support so AI agents and LLMs can connect to vulnerability management workflows (v5.21, June 2026)
- CVE-based grouping and prioritisation refinements (v5.20, May 2026)</t>
  </si>
  <si>
    <t xml:space="preserve">Nessus, OpenVAS, Burp, ZAP, Nuclei, Nmap, Jira, Slack, ServiceNow, GitLab, 100+ tools</t>
  </si>
  <si>
    <t xml:space="preserve">Pentest firms, MSSPs, LATAM/EU enterprises; logos not verified</t>
  </si>
  <si>
    <t xml:space="preserve">- Pentest/infra-centric rather than AppSec SDLC posture
- Weak developer workflow (no PR/IDE)
- Limited dedup sophistication
- Small vendor
- Community edition lags Enterprise</t>
  </si>
  <si>
    <t xml:space="preserve">Community free; Cloud/Enterprise subscription</t>
  </si>
  <si>
    <t xml:space="preserve">Offensive security and pentest delivery teams needing a shared findings workspace, not a consolidation platform for SDLC AppSec</t>
  </si>
  <si>
    <t xml:space="preserve">- https://faradaysec.com/
- https://appsecsanta.com/aspm-tools</t>
  </si>
  <si>
    <t xml:space="preserve">https://about.gitlab.com/pricing/ultimate/</t>
  </si>
  <si>
    <t xml:space="preserve">SaaS (GitLab.com, Dedicated single-tenant) / On-prem self-managed; air-gap supported (offline environments); self-hosted LLMs supported for Duo on self-managed</t>
  </si>
  <si>
    <t xml:space="preserve">Modules: SAST (Semgrep-based analyzers + GitLab Advanced SAST cross-file/cross-function), SCA (dependency scanning, malicious package detection beta 19.4), secrets (secret detection, push rules, auto-revocation of GitLab tokens), IaC (KICS), container (Trivy-based), DAST (browser-based DAST, API fuzzing, API security), SBOM (CycloneDX export, dependency list, SPDX licence expressions), ASPM-lite (Vulnerability Report, Security Inventory, security dashboards, policies), autofix (Vulnerability Resolution via Duo), coverage-guided fuzz testing. Language breadth: Advanced SAST covers Java, Python, Go, JS/TS, C#, Ruby, PHP, C/C++, Kotlin, Dart, Scala (19.4)</t>
  </si>
  <si>
    <t xml:space="preserve">- Broadest native scanner set of any SCM platform (SAST, DAST, SCA, secrets, IaC, container, fuzzing, API)
- Security policies as code (scan execution, merge request approval policies)
- Vulnerability Report as lightweight ASPM within the DevSecOps platform, now tracking up to three non-default branches with per-branch policy evaluation (19.5)
- Duo Agent Platform: Security Analyst Agent, vulnerability explanation and resolution, agentic chat, flows; Business Logic Security Analyzer flow in closed beta (19.5)
- GitLab Secrets Manager (OpenBao-based) GA for Premium/Ultimate (19.5)
- GitLab MCP server GA with toolset selection (19.5)
- AI Governance dashboard records externally connected agents such as Claude Code, Cursor and Codex (beta, 19.5)
- Compliance frameworks and audit events
- Self-managed and air-gapped with self-hosted models</t>
  </si>
  <si>
    <t xml:space="preserve">Native SCM/CI; Jira, ServiceNow, Slack; third-party scanner output via security report artifacts (SARIF/GitLab report JSON); Kubernetes agent; external ASPMs ingest GitLab Vulnerability Report via API</t>
  </si>
  <si>
    <t xml:space="preserve">Public sector, defence, financial services, telco (self-managed strongholds); logos not verified</t>
  </si>
  <si>
    <t xml:space="preserve">- Gartner MQ AST Oct 2025: evaluated (placement not verified; historically Challenger)
- Forrester Wave SAST Q3 2025: evaluated (placement not verified)
- Gartner MQ SSCS June 2026: not verified
- ASPM radars: not rated</t>
  </si>
  <si>
    <t xml:space="preserve">- Scanner depth is below best-of-breed (SAST FP rates, SCA reachability) though Advanced SAST is closing the gap
- Vulnerability management is repo/project-centric; weak cross-tool dedup and business-context scoring
- Duo Agent Platform is credit-metered on top of Ultimate, so AI cost is variable
- Only fully valuable if the client is on GitLab for SCM/CI
- Frequent version churn (18.x to 19.x) for self-managed upgrades</t>
  </si>
  <si>
    <t xml:space="preserve">Per user per month (Ultimate list $99/user/month billed annually); Duo Agent Platform usage credits (GitLab Credits), which from 19.5 also meter GitLab Secrets Manager and Business Logic Security Analyzer scans; Dedicated priced separately</t>
  </si>
  <si>
    <t xml:space="preserve">Ultimate approx $1,188 per user per year list; Duo credits additional (rate varies by model; GitLab-hosted open-weight models give up to 4x more calls per credit than frontier models as of 19.4)</t>
  </si>
  <si>
    <t xml:space="preserve">Organisations standardised on GitLab (especially self-managed/air-gapped) that want 'good enough' native scanning, policy-as-code and on-prem AI in one platform</t>
  </si>
  <si>
    <t xml:space="preserve">2026-10-15: [Release] GitLab 19.5 (release post dated Oct 15, 2026): GitLab Secrets Manager (OpenBao-based) GA for Premium/Ultimate; GitLab MCP server GA for all tiers with toolset selection and GitLab.com rate limits (60 requests/min Free, 600 Premium/Ultimate); Business Logic Security Analyzer flow for authorization flaws such as BOLA and mass assignment in closed beta (Ultimate, GitLab.com); vulnerability tracking on up to three non-default branches GA with AI flows (SAST false positive detection, Vulnerability Resolution, secret false positive detection) runnable on them; group-level security configuration profiles for SAST and Secret Detection; Externally Connected Agents (Claude Code, Cursor, Codex sessions) recorded in AI Governance (beta); Duo CLI auto mode and admin-managed settings; per-model IAM roles for self-hosted Bedrock models. Secrets Manager and Business Logic Security Analyzer scans consume GitLab Credits.
2026-09-23: [Release] GitLab Critical Patch Release 19.4.1, 19.3.3 and 19.2.7 (CE and EE) ships 11 security fixes from Critical to Low severity, including CVE-2026-89078 (double free in regex parser) and CVE-2026-93577 (integer overflow in regex compiler), both CVSS 9.9 and allowing code execution on the GitLab server by an authenticated user. Self-managed instances need to upgrade.
2026-09-17: [Release] GitLab 19.4: Advanced SAST adds Kotlin, Dart and Scala; Vulnerability Context Flow, due-date API and Security Inventory coverage view (Ultimate); malicious package detection in Dependency Scanning (beta); auto-revocation of all GitLab PAT formats; Duo gains /goal CLI command and GitLab MCP server tools for CI/CD, MRs and vulnerability triage (public beta), tool-level governance for MCP servers, per-user credit caps, and GitLab-hosted open-weight models (Kimi K3, MiniMax M3, GLM 5.3) at up to 4x more calls per credit.</t>
  </si>
  <si>
    <t xml:space="preserve">- https://about.gitlab.com/gitlab-duo-agent-platform/
- https://docs.gitlab.com/releases/
- https://docs.gitlab.com/releases/19/gitlab-19-5-released/
- https://about.gitlab.com/pricing/ultimate/
- https://www.forrester.com/blogs/announcing-the-forrester-wave-static-application-security-testing-solutions-and-buyers-guide-ai-brings-opportunity-to-sast-solutions/</t>
  </si>
  <si>
    <t xml:space="preserve">https://www.defectdojo.com/</t>
  </si>
  <si>
    <t xml:space="preserve">Self-hosted (Docker Compose, Kubernetes; air-gap feasible) / Pro as SaaS or self-hosted</t>
  </si>
  <si>
    <t xml:space="preserve">Modules: ASPM correlation / vulnerability management aggregator (200+ scanner parsers), dedup, SLA tracking, reporting; no native scanners; SBOM ingestion (CycloneDX); Pro adds Universal Importer/Parser, API connectors (ServiceNow, GitHub, GitLab, Azure DevOps), risk-based prioritisation, data enrichment. Autofix: none. Language breadth: n/a</t>
  </si>
  <si>
    <t xml:space="preserve">- De facto OSS standard for scanner aggregation, dedup and SLA tracking
- 200+ parsers, REST API, Jira integration
- Pro: new UI, connectors, automatic enrichment, prioritisation, Dedupe Pools, root-cause analysis, PSIRT 2.0 advisory feeds, scale
- Pro adds Dynamic Scanning (DAST), Sensei AI Agent Red Teaming and compliance packs (PCI DSS, FDA, CRA Art. 14) in v3.3.200 (Sept 2026)
- Latest Community release 3.2.400 (31 Aug 2026); Pro on 3.3.x train
- Pro from $100/month
- Widely embedded in consulting and MSSP toolchains</t>
  </si>
  <si>
    <t xml:space="preserve">200+ scanner formats, Jira, Slack, GitHub/GitLab/Azure DevOps (Pro), ServiceNow (Pro), Palo Alto Cortex XDR/XSIAM/XSOAR/Cloud connectors (Pro, Sept 2026), Prowler and cloud keyless auth (Pro), webhooks, REST API</t>
  </si>
  <si>
    <t xml:space="preserve">Consultancies, MSSPs, government, universities; widely deployed; logos not verified</t>
  </si>
  <si>
    <t xml:space="preserve">Not rated (open source); referenced in Gartner ASPM guides as OSS option (unverified)</t>
  </si>
  <si>
    <t xml:space="preserve">- No native scanning; no code-to-cloud graph or reachability
- Dedup quality depends on parser tuning; UX dated in Community
- Scale and RBAC needs push to Pro
- Self-hosting operational burden
- Pro AI features unverified</t>
  </si>
  <si>
    <t xml:space="preserve">Community free; Pro from $100/month (SaaS or self-hosted), enterprise tiers custom</t>
  </si>
  <si>
    <t xml:space="preserve">$0 (Community); Pro from $1,200/year upward</t>
  </si>
  <si>
    <t xml:space="preserve">High (entry price), Low (enterprise)</t>
  </si>
  <si>
    <t xml:space="preserve">Consulting delivery teams needing a vendor-neutral, client-deployable aggregation layer, and clients with budget or sovereignty constraints</t>
  </si>
  <si>
    <t xml:space="preserve">2026-09-22: [Release] DefectDojo Pro v3.3.200 adds Dynamic Scanning (DAST), AI Agent Red Teaming as a new Sensei capability, versioned vulnerability response policies with response-clock evaluation and incident escalation, compliance packs (PCI DSS, FDA cyber device, CRA Article 14 reporting), and reachability verdicts for Aqua Supply Chain.
2026-09-14: [Release] DefectDojo Pro v3.3.100 adds Dedupe Pools for grouped asset matching, a Palo Alto Cortex connector family (XDR, XSIAM, XSOAR, Cloud), keyless/delegated cloud auth for Prowler and Sensei CSPM, and shared dashboard layouts.</t>
  </si>
  <si>
    <t xml:space="preserve">- https://github.com/DefectDojo/django-DefectDojo
- https://github.com/DefectDojo/django-DefectDojo/releases
- https://appsecsanta.com/aspm-tools</t>
  </si>
  <si>
    <t xml:space="preserve">SaaS; scans run in customer CI (code never leaves by default); self-hosted/on-prem scanning agents; full on-prem platform not standard</t>
  </si>
  <si>
    <t xml:space="preserve">Modules: SAST (Semgrep Code, 30+ languages, cross-file/cross-function in Pro), SCA (Supply Chain with reachability, malware blocking), secrets (semantic validation), IaC (via rules), SBOM (Supply Chain), ASPM-lite (findings management, policies; limited third-party ingestion), autofix (Assistant autofix suggestions and PRs). DAST/container: none native. Language breadth: 30+ languages</t>
  </si>
  <si>
    <t xml:space="preserve">- Fast, rule-transparent SAST with custom rules as code
- Semgrep Assistant: hybrid deterministic + LLM triage (3.5x more true positives than AI alone, vendor)
- Semgrep Memories learns team triage decisions
- Agentic Workflows to combine static analysis with AI at scale
- Semgrep Guardian real-time security inside AI coding agents, with status reporting (Sept 2026)
- Supply Chain malware detection and response automation GA (Sept 2026); malware firewall in private beta
- MCP server for Cursor, Replit and other agents
- PR checks across GitHub, GitLab, Bitbucket, Azure</t>
  </si>
  <si>
    <t xml:space="preserve">GitHub, GitLab, Bitbucket, Azure DevOps, Jenkins, CircleCI, Jira, Slack, webhooks, VS Code, JetBrains, Cursor via MCP, SCIM provisioning via Okta and Microsoft Entra ID (public beta, Sept 2026)</t>
  </si>
  <si>
    <t xml:space="preserve">Technology, fintech, SaaS; widely used by security engineering teams; logos not verified</t>
  </si>
  <si>
    <t xml:space="preserve">- Forrester Wave SAST Q3 2025: not among the 10 evaluated
- Gartner MQ AST Oct 2025: placement not verified (historically Niche/Visionary or not included)
- Not rated as ASPM</t>
  </si>
  <si>
    <t xml:space="preserve">- Not an ASPM: minimal third-party ingestion, no DAST/container
- Per-contributor pricing scales steeply for large orgs
- Open-source engine limits (no cross-file) push clients to Pro
- SaaS control plane required
- Enterprise reporting/compliance features lighter than Checkmarx/Veracode</t>
  </si>
  <si>
    <t xml:space="preserve">Per contributor per month per product (Code, Supply Chain, Secrets); free Community tier; Team and Enterprise tiers</t>
  </si>
  <si>
    <t xml:space="preserve">Team tier historically around $40 per contributor per month per product; Enterprise custom (verify current pricing page)</t>
  </si>
  <si>
    <t xml:space="preserve">Security engineering teams wanting customisable, fast SAST with strong AI triage, typically fed into a separate ASPM</t>
  </si>
  <si>
    <t xml:space="preserve">2026-09-24: [Feature GA] Semgrep Supply Chain malware detection and response automation is GA for all Supply Chain customers: expert-verified, AI-assisted rules for new package-compromise incidents are pushed within minutes, repos auto-rescanned, affected projects notified, and org-wide policies can auto-create Jira tickets or Slack alerts; a malware firewall embedded in Semgrep Guardian is in private beta.
2026-09-21: [Release] Week of Sept 21 release notes: SCIM provisioning for users and groups with Okta and Microsoft Entra ID enters public beta; billing gets multi-product checkout; Supply Chain shows active and recent incidents on the Advisories page; API deprecation policies and changelogs published for API v1 and v2; fixes for Jira reconnection, repository sync and Agentic Workflows commit status retries.
2026-09-14: [Release] Week of Sept 14 release notes: Semgrep Guardian now reports setup, scan summaries and errors inside AI coding agents; Agentic Workflows gain CSV export of issues via UI and public API; fixes for AI-powered detection scheduled scans, Autofix Bedrock error messaging and Network Broker branch names.</t>
  </si>
  <si>
    <t xml:space="preserve">SaaS; on-prem/self-hosted historically available for Sysdig Secure (verify current status)</t>
  </si>
  <si>
    <t xml:space="preserve">Modules: container/image vulnerability management with runtime reachability ('in-use' prioritisation), IaC, CSPM, CIEM, CDR, Kubernetes security, SBOM (image-level). SAST/SCA for source: none native. DAST: none. ASPM: none (runtime posture only). Autofix: IaC remediation PRs (limited). Language breadth: n/a</t>
  </si>
  <si>
    <t xml:space="preserve">- Runtime insights: kernel-level system calls determine what packages are actually loaded (98% noise reduction claim)
- Falco-based detection (CNCF graduated)
- Sysdig Sage GenAI assistant and agentic AI (Sysdig Secure AI: headless, agentic, assistant modes)
- Registry, pipeline and admission-control scanning
- Kubernetes-native policy</t>
  </si>
  <si>
    <t xml:space="preserve">Kubernetes, OpenShift, registries, GitHub/GitLab/Jenkins pipelines, Jira, Slack, SIEM, AWS/Azure/GCP</t>
  </si>
  <si>
    <t xml:space="preserve">Financial services, SaaS, telco with heavy Kubernetes; logos not verified</t>
  </si>
  <si>
    <t xml:space="preserve">- Gartner MQ CNAPP: rated (position not verified)
- Not rated as ASPM/AST</t>
  </si>
  <si>
    <t xml:space="preserve">- Not an AppSec platform: no source-code SAST/SCA/DAST
- Value concentrated in containers/Kubernetes runtime
- Agent-based deployment overhead
- Pricing per node/host adds up in large clusters
- ASPM correlation must come from another tool</t>
  </si>
  <si>
    <t xml:space="preserve">Per host/node subscription; Falco free</t>
  </si>
  <si>
    <t xml:space="preserve">Kubernetes-heavy clients needing runtime-informed container vulnerability prioritisation as a feed into a separate ASPM</t>
  </si>
  <si>
    <t xml:space="preserve">Feature updates, launches and vendor news per tool</t>
  </si>
  <si>
    <t xml:space="preserve">One row per dated update recorded against a tool (feature launches, GA announcements, acquisitions, pricing changes, releases). Newest first. Populated by the weekly update run.</t>
  </si>
  <si>
    <t xml:space="preserve">Date</t>
  </si>
  <si>
    <t xml:space="preserve">Update type</t>
  </si>
  <si>
    <t xml:space="preserve">What changed</t>
  </si>
  <si>
    <t xml:space="preserve">Source</t>
  </si>
  <si>
    <t xml:space="preserve">Feature launch</t>
  </si>
  <si>
    <t xml:space="preserve">Endor Labs October 2026 release notes (month-level page, exact day not stated; dated to the 19 Oct sweep) add License notice reports (Beta) that list a project's or package's open source dependencies with their license texts and copyright notices to meet attribution requirements when distributing software.</t>
  </si>
  <si>
    <t xml:space="preserve">https://docs.endorlabs.com/releasenotes/october-2026</t>
  </si>
  <si>
    <t xml:space="preserve">October 2026 release notes (page carries month only, exact day not stated; verified 19 Oct) add License notice reports in Beta: a generated report listing open source dependencies in projects and packages with their licence texts and copyright notices to help meet attribution obligations. No SBOM, VEX or AI Code Governance items were visible on the page at verification.</t>
  </si>
  <si>
    <t xml:space="preserve">Release</t>
  </si>
  <si>
    <t xml:space="preserve">SD Elements release 2026.10.1 (the October 2026 release per the docs What's New page; exact publication date not shown, observed 2026-10-19) adds two MCP OAuth setup guides, one for SaaS administrators and one for users, covering connecting Claude Code, GitHub Copilot in VS Code and ChatGPT Codex to the SD Elements MCP Server. It also documents file requirements for scan-report uploads to project verification connections (supported upload systems, accepted file types, 16 MB default limit). Release 2026.9.2 listed no documented changes.</t>
  </si>
  <si>
    <t xml:space="preserve">https://docs.sdelements.com/release/latest/guide/docs/whatsnew.html</t>
  </si>
  <si>
    <t xml:space="preserve">2026-10-16</t>
  </si>
  <si>
    <t xml:space="preserve">Feature GA</t>
  </si>
  <si>
    <t xml:space="preserve">Open source license compliance is generally available for GitHub Enterprise Cloud (including data-resident GHEC) repositories with Code Security enabled: an enterprise-wide license policy is enforced through rulesets with a 'Require license compliance results before merging' condition, pull requests adding non-compliant dependencies are annotated, a new Enterprise Open-Source License Manager role approves exceptions, and dependency graph and SBOM exports now include license data. Since the June public preview GitHub added audit log events, policy download/update APIs and a package compliance check API intended for coding agents.</t>
  </si>
  <si>
    <t xml:space="preserve">https://github.blog/changelog/2026-10-16-open-source-license-compliance-generally-available</t>
  </si>
  <si>
    <t xml:space="preserve">Open source license compliance is generally available for GitHub Enterprise Cloud customers (including data residency) on repositories with GitHub Code Security: licence data now appears in the dependency graph and SBOM exports, pull requests are annotated for noncompliant dependencies, an enterprise licence policy is enforced via a new ruleset condition, and new APIs cover the dependency graph, policy management and a package compliance check aimed at coding agents. Same week: Dependabot gained anonymous organization-level registries (12 Oct) and improved detection of withdrawn alerts (13 Oct).</t>
  </si>
  <si>
    <t xml:space="preserve">https://github.blog/changelog/2026-10-16-open-source-license-compliance-generally-available/</t>
  </si>
  <si>
    <t xml:space="preserve">Open source license compliance (supply chain security) is generally available; Dependabot also gained anonymous organization-level registries (Oct 12) and improved detection of withdrawn alerts (Oct 13).</t>
  </si>
  <si>
    <t xml:space="preserve">2026-10-15</t>
  </si>
  <si>
    <t xml:space="preserve">Checkmarx joined the Claude Marketplace: US Anthropic customers can apply committed Anthropic spend to Checkmarx Fusion, Triage Assist and Remediation Assist (all delivered through Checkmarx One) under a single Anthropic invoice, purchased via their Anthropic account team or Checkmarx. The press release does not state an integration method (MCP, plugin) or GA/preview status.</t>
  </si>
  <si>
    <t xml:space="preserve">https://checkmarx.com/press-releases/checkmarx-joins-the-claude-marketplace/</t>
  </si>
  <si>
    <t xml:space="preserve">AI Scan for pull requests is generally available: AI-based vulnerability detection on PR changes that complements CodeQL by covering languages and frameworks CodeQL lacks (PHP, Shell/Bash, Terraform HCL, Dockerfiles, JSP, Blazor and more), with findings marked 'AI' and optional suggested autofixes. Findings are advisory only (cannot fail the check or block merges), it skips fork and Dependabot PRs, needs Code Security or GHAS for private repos (no Copilot licence), and usage consumes Code Security AI Credits with SKU-level budgets.</t>
  </si>
  <si>
    <t xml:space="preserve">https://github.blog/changelog/2026-10-15-ai-scan-for-pull-requests-generally-available</t>
  </si>
  <si>
    <t xml:space="preserve">Agentic autofix for code scanning alerts is generally available for Code Security and GHAS customers on GitHub Enterprise Cloud (incl. data residency): alerts are assigned to Copilot (alert page, bulk up to 25 alerts, or REST API assignee copilot-swe-agent[bot]), the agent explores the codebase, proposes a fix, reruns CodeQL to confirm the alert closes and opens a draft PR. It replaces the free 'Generate Fix' button, requires an enterprise 'Agentic autofix' policy and a Copilot billing method, works only on default-branch alerts, and consumes Code Security AI Credits plus Actions minutes.</t>
  </si>
  <si>
    <t xml:space="preserve">GitLab 19.5 (Ultimate): vulnerability tracking on up to three non-default branches with SAST False Positive Detection, SAST Vulnerability Resolution and Secret False Positive Detection AI flows now running on those branches; group-level UI customisation of SAST and Secret Detection security configuration profiles; Advanced SAST scans C/C++ files nested up to 20 levels; MR security report compares up to 1,000 findings per severity (was 25); Business Logic Security Analyzer (closed beta, GitLab.com, consumes GitLab Credits) hunts BOLA and missing authorisation checks via Duo Chat or API. The GitLab MCP server is GA across all tiers with toolset selection, new groups/artifact/Duo-agent tools and per-user rate limits (60 req/min Free, 600 Premium/Ultimate); Externally Connected Agents (Claude Code, Cursor, Codex) can report into AI Governance (beta).</t>
  </si>
  <si>
    <t xml:space="preserve">Checkmarx joined the Claude Marketplace: US Anthropic customers can apply committed Anthropic spend to three Checkmarx products, Fusion (Checkmarx deterministic scanning engines paired with Claude), Triage Assist (ranks findings by attackability) and Remediation Assist (proposes merge-ready fixes), under one Anthropic invoice. The press release does not state which engines (SAST, SCA, secrets) are covered or give pricing.</t>
  </si>
  <si>
    <t xml:space="preserve">GitLab 19.5 makes non-default branch vulnerability tracking generally available (up to three additional branches or tags, policies evaluated per tracked branch), adds UI-managed security configuration profiles for SAST and Secret Detection (dependency scanning customisation remains GraphQL-only), raises merge request security report comparison to 1,000 findings per severity, and makes the GitLab MCP server generally available (with 60/600 requests per minute rate limits) alongside GA of GitLab Secrets Manager and per-user GitLab Credits usage views. No dependency scanning, SBOM or malicious package features shipped in 19.5.</t>
  </si>
  <si>
    <t xml:space="preserve">Xray 3.157.2 adds a Curation Integrity Violation condition that blocks cached packages whose checksum does not match the JFrog Catalog, extends Curation to Chainguard remediated Java libraries and to Echo Maven and npm repositories, adds Curation Audit filters, Oracle Linux OS package detection for Docker images and RPM files, faster download-blocking checks and better impact-path lookups when SBOM is enabled. Xray 3.156.9 (11 Oct) adds JFrog Advanced Security support on RHEL 10; 3.155.12 (14 Oct) fixes Contextual Analysis and Exposures on ARM64 nodes.</t>
  </si>
  <si>
    <t xml:space="preserve">https://docs.jfrog.com/releases/docs/xray</t>
  </si>
  <si>
    <t xml:space="preserve">JFrog Xray 3.157.2 adds JFrog Curation support for Chainguard remediated Java libraries, so Chainguard Libraries for Java can be curated through Artifactory alongside other sources. Date is that of the JFrog release notes, not a Chainguard announcement; Chainguard's own feed was not checked this run.</t>
  </si>
  <si>
    <t xml:space="preserve">Third-party scanner support for Echo-patched packages expanded: JFrog Xray 3.157.2 (15 Oct) adds Curation support for Echo Maven and npm repositories, and Trivy v0.76.0 (14 Oct) detects vulnerabilities in Echo-patched Maven and npm packages (identified by the +echo.N version suffix) in addition to Python. Dates are those of the JFrog and Trivy releases, not an Echo announcement.</t>
  </si>
  <si>
    <t xml:space="preserve">Validity and permissions checks for vaulted secrets now run inside the customer network via ggscout 0.34.1 or later, on by default, reporting validity, scopes, owner and expiry to the NHI inventory for internal vaults, CI variables and Kubernetes clusters. GA or beta status and plan tier are not stated on the changelog page.</t>
  </si>
  <si>
    <t xml:space="preserve">https://docs.gitguardian.com/releases/saas/2026/10/15/changelog</t>
  </si>
  <si>
    <t xml:space="preserve">GitLab 19.5 adds customizable security configuration profiles (Ultimate) so groups can set Secret Detection and SAST options such as excluded paths and full Git history scans for all their projects, and lets the Duo Secret False Positive Detection flow run on vulnerabilities in tracked non-default branches. The same release makes the GitLab MCP server GA with admin toolset selection and rate limits, brings Externally Connected Agents such as Claude Code and Cursor into AI Governance (beta), and makes GitLab Secrets Manager (OpenBao-based secrets storage, Premium and Ultimate, consumes GitLab Credits) GA.</t>
  </si>
  <si>
    <t xml:space="preserve">Xray 3.157.2 adds a Curation Integrity Violation condition that blocks cached packages whose checksum does not match the JFrog Catalog, Chainguard remediated Java library and Echo Maven and npm support in Curation, new Curation Audit filters, improved impact path lookup and fewer redundant writes when SBOM is enabled, and Oracle Linux OS package detection for Docker images and RPMs. Maintenance releases 3.156.5 to 3.156.16 (6 to 18 Oct) add RHEL 10 support for JFrog Advanced Security and fix Curation federation and project-scoped token issues.</t>
  </si>
  <si>
    <t xml:space="preserve">GitLab 19.5 makes the GitLab MCP server generally available on all tiers for any MCP-compatible agent (toolset selection, artifact file tool, Duo agent tools, rate limits of 60 or 600 requests per minute on GitLab.com), adds Externally Connected Agents to AI Governance (Beta) covering Claude Code, Cursor and Codex, ships vulnerability tracking on non-default branches (GA, Ultimate) and Dependency Scanning profile customisation through the GraphQL API (Ultimate). No SBOM, CycloneDX or VEX changes are listed.</t>
  </si>
  <si>
    <t xml:space="preserve">GitLab 19.5 makes the GitLab MCP Server GA on all tiers with admin and user toolset selection and GitLab.com rate limits (60 requests per minute Free, 600 Premium and Ultimate), ships GitLab Secrets Manager GA (OpenBao-based, Premium and Ultimate), and for Ultimate adds GA vulnerability tracking on up to three non-default branches, customisable SAST and Secret Detection configuration profiles, AI flows (SAST false positive detection and vulnerability resolution) on tracked branches, merge request security report comparison of up to 1,000 findings per severity, and a closed beta Business Logic Security Analyzer (GitLab.com only, consumes GitLab Credits). Externally Connected Agents can be joined to AI Governance audit events in beta; no security-requirements feature is included.</t>
  </si>
  <si>
    <t xml:space="preserve">Checkmarx joined the Claude Marketplace: US Anthropic customers can apply committed Anthropic spend to Checkmarx Fusion (deterministic engine plus Claude models), Triage Assist and Remediation Assist, consolidating the purchase onto the Anthropic invoice (per vendor). The release also states Checkmarx participates in Anthropic's Cyber Verification Program using Claude Mythos. No list prices, GA/preview label or Claude surface (Claude Code, Cowork) is given.</t>
  </si>
  <si>
    <t xml:space="preserve">Agentic autofix for code scanning alerts is generally available for GitHub Code Security and GHAS customers on GitHub Enterprise Cloud (incl. data residency). It explores the codebase, proposes a fix, reruns CodeQL to confirm the alert is closed and opens a draft pull request with reasoning and validation steps; alerts can be assigned to Copilot individually, in batches of up to 25 or via REST API (default branch only). It is opt-in (enterprise policy plus org or repo setting), needs a Copilot billing method, and consumes AI Credits from the Code Security budget plus Actions minutes.</t>
  </si>
  <si>
    <t xml:space="preserve">AI Scan for pull requests is generally available for code scanning; companion changelog entries add AI Scan enablement status (Oct 6) and AI Scan metrics (Oct 13) to the security overview. Details of the GA post were not fetched beyond the changelog listing.</t>
  </si>
  <si>
    <t xml:space="preserve">GitLab 19.5 (release post dated Oct 15, 2026): GitLab Secrets Manager (OpenBao-based) GA for Premium/Ultimate; GitLab MCP server GA for all tiers with toolset selection and GitLab.com rate limits (60 requests/min Free, 600 Premium/Ultimate); Business Logic Security Analyzer flow for authorization flaws such as BOLA and mass assignment in closed beta (Ultimate, GitLab.com); vulnerability tracking on up to three non-default branches GA with AI flows (SAST false positive detection, Vulnerability Resolution, secret false positive detection) runnable on them; group-level security configuration profiles for SAST and Secret Detection; Externally Connected Agents (Claude Code, Cursor, Codex sessions) recorded in AI Governance (beta); Duo CLI auto mode and admin-managed settings; per-model IAM roles for self-hosted Bedrock models. Secrets Manager and Business Logic Security Analyzer scans consume GitLab Credits.</t>
  </si>
  <si>
    <t xml:space="preserve">2026-10-14</t>
  </si>
  <si>
    <t xml:space="preserve">Endor Labs announced bring-your-own-key (BYOK) for AI SAST and AI Chat (private beta): customers run detection, triage and remediation requests through their own OpenAI, Azure OpenAI, Google Gemini or Vertex AI accounts via the Endor Labs AI Gateway, with keys stored encrypted in the platform or passed as environment variables at scan time, region selection for Azure and Vertex, a provider allowlist, tenant isolation and no fallback to Endor credentials. Anthropic and AWS Bedrock are not listed; pricing is not stated.</t>
  </si>
  <si>
    <t xml:space="preserve">Sonatype unveiled Nexus Repository Pro+, which embeds Repository Firewall screening inside Nexus Repository so open source packages, containers, AI models and MCP servers requested by developers or AI agents are checked against Sonatype threat intelligence and security, legal, architectural and component-age policies before they reach a build, with blocking or quarantine and safer-upgrade recommendations. Available today per vendor; a Nexus Repository Enterprise edition with the same protection is to follow in the coming weeks; pricing not published.</t>
  </si>
  <si>
    <t xml:space="preserve">https://www.sonatype.com/press-releases/sonatype-unveils-nexus-repository-pro-plus</t>
  </si>
  <si>
    <t xml:space="preserve">Socket for Origin is available in the Origin App Marketplace (Origin is a code hosting platform from SpaceXSI with repository hosting, pull requests and coding agents inside the Cursor workflow). The integration scans dependency changes in manifests and lockfiles when a pull request is opened or commits are pushed, posts a pass/fail verdict against the team's Socket policies and adds PR comments with risk scores and severity labels; GA status and pricing not stated.</t>
  </si>
  <si>
    <t xml:space="preserve">https://socket.dev/blog/socket-for-origin</t>
  </si>
  <si>
    <t xml:space="preserve">Trivy v0.76.0 adds nominal security levels for cryptographic algorithms in experimental CBOM output (classical bit strength and NIST post-quantum categories), detects vulnerabilities in Echo-patched Maven and npm packages (identified by the +echo.N version suffix, in addition to Python), and scans images based on RapidFort-curated Debian, Oracle Linux, Rocky Linux, AlmaLinux and Amazon Linux. DSA algorithms are now distinguished by L and N parameter lengths, which changes their CBOM bom-ref values (possible breaking change).</t>
  </si>
  <si>
    <t xml:space="preserve">https://github.com/aquasecurity/trivy/discussions/11409</t>
  </si>
  <si>
    <t xml:space="preserve">October 2026 TruffleHog release notes (page dated 2026-10-14; individual items undated) add detectors for Kong Konnect, Resend, Humio and New Relic Insights keys in OSS and Enterprise, S3 include/exclude filters by prefix or extension, and OAuth credential verification for the Okta detector. Enterprise gains a Last Verified Time on secret details, a Scan Details view replacing the Active scans tab, scan errors in the Activity Log, detector exclusions that drop already-queued findings, read-only archived sources and fixes for Jira, Confluence custom-domain, SharePoint and AWS Analyze assume-role issues.</t>
  </si>
  <si>
    <t xml:space="preserve">https://trufflesecurity.com/docs/2026-october</t>
  </si>
  <si>
    <t xml:space="preserve">Trivy v0.76.0 adds experimental CBOM security levels, reporting a classical security level and a NIST post-quantum category per cryptographic algorithm in CycloneDX output (DSA bom-ref values change), detects vulnerabilities in Echo-patched Maven and npm packages (+echo.N versions) via Echo's OSV feed, extends RapidFort image scanning to Debian, Oracle Linux, Rocky, AlmaLinux and Amazon Linux bases, and fixes a panic on CSAF VEX advisories without a CVE.</t>
  </si>
  <si>
    <t xml:space="preserve">Sonatype announced Nexus Repository Pro+, which builds Repository Firewall malware protection and policy enforcement into the artifact repository so open source packages, AI models and MCP servers are screened and blocked or quarantined when a developer or AI agent requests them. Pro+ is 'available today' per vendor; a Nexus Repository Enterprise edition follows in the coming weeks. No pricing was published.</t>
  </si>
  <si>
    <t xml:space="preserve">Wiz AI Agents (Green, Red, Blue) arrive in Wiz for Gov, the FedRAMP environment for US public sector customers (per vendor blog). A companion post the same day describes centralising third-party AppSec scanners in Wiz as part of an 'ASPM in the AI era' series.</t>
  </si>
  <si>
    <t xml:space="preserve">https://www.wiz.io/blog/wiz-for-gov-agents-fedramp</t>
  </si>
  <si>
    <t xml:space="preserve">Endor Labs announced BYOK (bring your own key) for AI SAST and AI Chat: model requests route through the Endor Labs AI Gateway to the customer's own LLM provider account (OpenAI, Azure OpenAI, Gemini, Vertex AI; region selection for Azure OpenAI and Vertex AI) with an encrypted key store, provider allowlist and tenant isolation; BYOK is all-or-nothing with no fallback to Endor credentials. Private beta for Endor Labs customers; Anthropic and Bedrock are not listed.</t>
  </si>
  <si>
    <t xml:space="preserve">Sonatype unveiled Nexus Repository Pro+, a repository tier that embeds Repository Firewall inside Nexus Repository to screen open source packages, AI models and MCP servers at the moment a developer or AI agent requests them, blocking or quarantining malicious, vulnerable or out-of-policy components (333M+ component catalog, per vendor) and suggesting validated upgrade paths. Pro+ is 'available today'; a Nexus Repository Enterprise tier is due 'in the coming weeks'. No pricing published.</t>
  </si>
  <si>
    <t xml:space="preserve">2026-10-13</t>
  </si>
  <si>
    <t xml:space="preserve">Veracode CLI v2.53.0 adds 'scan static' and 'findings static' commands for running static scans and retrieving static findings inside Git workflows, and improves 'veracode package' for Java and C# source packaging plus a BitBake Ninja issue. No other Static Analysis or Veracode Fix entries were posted in the window.</t>
  </si>
  <si>
    <t xml:space="preserve">https://docs.veracode.com/updates</t>
  </si>
  <si>
    <t xml:space="preserve">Snyk announced the Snyk Code October 2026 update (post shows only a relative date, approx. 13 Oct; the update itself goes live on 26 Oct 2026): deeper analysis for Java, Kotlin, Go, TypeScript, JavaScript, Python, C#, PHP and Ruby, import resolution from go.mod, tsconfig.json and jsconfig.json, new Java framework coverage (Spring Data MongoDB, AWS SDK DynamoDB, Commons FileUpload), new Mass Assignment (Java/Spring) and SSRF (Ruby) rules, and a PHP typing fix. Snyk warns that affected projects will report significantly more findings on their next scan, which can affect PR gates.</t>
  </si>
  <si>
    <t xml:space="preserve">https://updates.snyk.io/snyk-code-october-update/</t>
  </si>
  <si>
    <t xml:space="preserve">Security overview now shows code scanning AI Scan metrics (13 Oct) and AI Scan enablement status per repository (6 Oct), giving admins visibility of AI Scan rollout ahead of its GA. Same week: GitHub Code Quality finding dismissals and reopenings are now written to the audit log.</t>
  </si>
  <si>
    <t xml:space="preserve">https://github.blog/changelog/2026-10-13-code-scanning-ai-scan-metrics-in-security-overview</t>
  </si>
  <si>
    <t xml:space="preserve">Sonar joined the OpenAI Daybreak Defense Network (cyber partner programme), gaining access to OpenAI GPT Cyber Models, which it says expand the guided reasoning behind the SonarQube Hunter Agent for logic and access-control flaw detection. Sonar states it can now deploy the models across multiple products but gives no availability dates; Remediation Agent and Vortex are not named.</t>
  </si>
  <si>
    <t xml:space="preserve">https://www.sonarsource.com/company/press-releases/sonar-joins-openai-daybreak-cyber-partner-program/</t>
  </si>
  <si>
    <t xml:space="preserve">Veracode CLI v2.53.0 adds 'veracode scan static' and 'veracode findings static' commands for Git-workflow static scans with locally cached findings, and improves 'veracode package' (auto-includes .yaml, .yml and .properties for Java, new --csharp-source flag). No SCA or Package Firewall changes were listed in the window.</t>
  </si>
  <si>
    <t xml:space="preserve">GitHub improved detection of withdrawn Dependabot alerts so alerts tied to retracted advisories are resolved more accurately (changelog title; body not read).</t>
  </si>
  <si>
    <t xml:space="preserve">https://github.blog/changelog/2026-10-13-improved-detection-for-withdrawn-dependabot-alerts</t>
  </si>
  <si>
    <t xml:space="preserve">Push protection now blocks Anthropic service and user API keys by default, including in free public repositories with secret scanning enabled. Salesforce joins the partner program for its Marketing Cloud OAuth2 token and a Cloudsmith API key detector is added.</t>
  </si>
  <si>
    <t xml:space="preserve">https://github.blog/changelog/2026-10-13-secret-scanning-blocks-anthropic-keys-by-default-adds-salesforce/</t>
  </si>
  <si>
    <t xml:space="preserve">Veracode CLI v2.53.0 adds 'veracode scan static' for running static scans and reviewing findings in a Git workflow, 'veracode findings static' for cached results, and '--csharp-source' support in 'veracode package'. No changes to the sbom or SCA commands; SBOM format versions unchanged.</t>
  </si>
  <si>
    <t xml:space="preserve">https://docs.veracode.com/updates/</t>
  </si>
  <si>
    <t xml:space="preserve">Integration releases between Oct 6 and Oct 13, 2026: GitHub Workflow Integration v2.1.9 (predependency_command for static scans, build_runs_on for SCA scans, fix for stuck check runs), GitLab Workflow Integration v2.1.9 (predependency_command and policy parameters, merge blocking when break-build is enabled, Oct 6), Azure DevOps Workflow Integration v2.4.5 (policy parameter for IaC scans, Oct 7), Java API wrapper v26.10.20.0 and .1 (Git repository and commit metadata auto-attached to Static Analysis scans, Oct 7 and 9) and Veracode Scan for JetBrains v1.8.1 (IDE versions 2024.2 to 2026.3, Oct 8).</t>
  </si>
  <si>
    <t xml:space="preserve">https://docs.veracode.com/updates/r/c_all_int</t>
  </si>
  <si>
    <t xml:space="preserve">Secret scanning push protection now blocks Anthropic API keys by default and adds Salesforce detectors; on Oct 5 detectors for Lovable, Supabase and other services were added, and on Oct 7 GitHub introduced a purpose-built model for leaked secret detection.</t>
  </si>
  <si>
    <t xml:space="preserve">https://github.blog/changelog/2026-10-13-secret-scanning-blocks-anthropic-keys-by-default-adds-salesforce</t>
  </si>
  <si>
    <t xml:space="preserve">2026-10-12</t>
  </si>
  <si>
    <t xml:space="preserve">Endor Labs and Bright Security announced a partnership to connect vulnerability discovery with remediation (per the Endor Labs blog post title; details of the integration were not read).</t>
  </si>
  <si>
    <t xml:space="preserve">https://www.endorlabs.com/learn/endor-labs-and-bright-security-partner-to-close-the-gap-between-discovery-and-remediation</t>
  </si>
  <si>
    <t xml:space="preserve">Dependabot now supports anonymous organization-level private registries, so organisation-wide registry configurations can be used without stored credentials (changelog title; body not read).</t>
  </si>
  <si>
    <t xml:space="preserve">https://github.blog/changelog/2026-10-12-anonymous-organization-level-registries-for-dependabot</t>
  </si>
  <si>
    <t xml:space="preserve">Endor Labs and Bright Security announced a partnership to connect vulnerability discovery with remediation (integration details per vendor blog; depth not verified).</t>
  </si>
  <si>
    <t xml:space="preserve">2026-10-09</t>
  </si>
  <si>
    <t xml:space="preserve">CodeQL 2.27.2 improves C++, Go, Rust and JavaScript analysis (changelog title; per-language query details not read).</t>
  </si>
  <si>
    <t xml:space="preserve">https://github.blog/changelog/2026-10-09-codeql-2-27-2-improves-c-go-rust-and-javascript-analysis</t>
  </si>
  <si>
    <t xml:space="preserve">Beta support for scanning Harbor container registries for secrets: every layer of tagged images (each platform of multi-architecture images), Dockerfiles and environment variables in image metadata, using a customer-created read-only robot account, with historical and incremental scans and firewalled instances reachable through GitGuardian Bridge.</t>
  </si>
  <si>
    <t xml:space="preserve">https://docs.gitguardian.com/releases/saas/2026/10/09/changelog</t>
  </si>
  <si>
    <t xml:space="preserve">CodeQL 2.27.2 improves C++, Go, Rust and JavaScript analysis for code scanning.</t>
  </si>
  <si>
    <t xml:space="preserve">2026-10-08</t>
  </si>
  <si>
    <t xml:space="preserve">Snyk CLI v1.1308.0: 'snyk code test' and 'snyk secrets test' can now produce HTML reports via --html or --html-file-output; the experimental 'snyk agent-scan' command reports risk indicators instead of issue codes; plus Maven, Gradle and .NET reliability fixes. A follow-up v1.1308.1 (approx. 16 Oct) makes HTML output for 'snyk test' available without preview flags.</t>
  </si>
  <si>
    <t xml:space="preserve">https://updates.snyk.io/announcing-snyk-cli-v1-1308-0/</t>
  </si>
  <si>
    <t xml:space="preserve">Corgea changelog (releases 1 to 6 Oct 2026): different CWEs on the same code statement are now tracked as separate SAST findings with independent triage decisions and history, incremental scans preserve accepted-risk expiry, assignees, due dates and SLA status, finding fingerprints were made more stable, automatic triage rules now apply to carried-forward findings; Vulnerabilities Workbench gets the standard filter bar, bulk assignment and FP decisions; CLI --project-name supports multiple projects sharing one repository; CxOne triage imports and report uploads keep CWEs separate; autofix generation no longer loops when a saved fix cannot load.</t>
  </si>
  <si>
    <t xml:space="preserve">https://corgea.com/blog/changelog-october-8-2026</t>
  </si>
  <si>
    <t xml:space="preserve">Corgea Q3 2026 product update summarises 52 releases shipped in the quarter: AI pentesting (beta), the Vulnerabilities Workbench, triage approvals and governance, supply chain controls and MCP support (vendor roundup).</t>
  </si>
  <si>
    <t xml:space="preserve">https://corgea.com/blog/corgea-q3-2026-product-update</t>
  </si>
  <si>
    <t xml:space="preserve">Snyk CLI v1.1308.0 adds HTML report output (--html, --html-file-output) to snyk test, snyk code test and snyk secrets test, changes the experimental snyk agent-scan command to report risk indicators instead of issue codes (breaking for scripts that parse its JSON), and fixes Maven/Gradle SBOM stalls and .NET scanning issues. A follow-up v1.1308.1 making snyk test HTML reports available without preview flags was posted to updates.snyk.io a few days later (exact date not shown on the feed).</t>
  </si>
  <si>
    <t xml:space="preserve">Snyk CLI v1.1308.0 adds HTML report output for 'snyk secrets test' (and 'snyk code test'), and the experimental 'snyk agent-scan' command now reports risk indicators instead of issue codes, a breaking change for scripts parsing its JSON. Snyk's updates feed also lists (undated, mid-October) pending ignore requests becoming visible on the Project Issues page for Secrets and SAST findings.</t>
  </si>
  <si>
    <t xml:space="preserve">https://updates.snyk.io/</t>
  </si>
  <si>
    <t xml:space="preserve">Snyk CLI v1.1308.0 adds HTML report output for 'snyk code test' and 'snyk secrets test', changes the experimental 'snyk agent-scan' command to report risk indicators instead of issue codes, and ships reliability fixes for Maven and Gradle 'snyk sbom' generation and '--print-graph'. No AI-BOM changes; a follow-up v1.1308.1 is listed without an exact date.</t>
  </si>
  <si>
    <t xml:space="preserve">Snyk CLI v1.1308.0 adds HTML report output for 'snyk code test' and 'snyk secrets test' via --html or --html-file-output, changes the experimental 'snyk agent-scan' command to report risk indicators instead of issue codes, and ships reliability fixes for Maven, Gradle and .NET scans.</t>
  </si>
  <si>
    <t xml:space="preserve">Pricing change</t>
  </si>
  <si>
    <t xml:space="preserve">Mend.io moved 184 open source organisations to the Renovate Community (OSS) plan (per vendor blog); this is a plan change for OSS maintainers, not a list-price change for commercial customers. An Oct 15 vendor post also promotes Mend AI Guardrails inspecting outbound data from sandboxed AI agents, without a launch or GA statement.</t>
  </si>
  <si>
    <t xml:space="preserve">https://www.mend.io/blog/renovate-community-oss-plan-upgrades/</t>
  </si>
  <si>
    <t xml:space="preserve">2026-10-07</t>
  </si>
  <si>
    <t xml:space="preserve">NHI Governance infers each secret's environment from its path, tags and labels, falling back to the source-level environment in the ggscout configuration. Same release adds @gitguardian replies on GitHub check runs, keyless Workload Identity for Google Artifact Registry, Public API presence-check endpoints and Confluence Data Center author keys.</t>
  </si>
  <si>
    <t xml:space="preserve">https://docs.gitguardian.com/releases/saas/2026/10/07/changelog</t>
  </si>
  <si>
    <t xml:space="preserve">GitHub introduces a purpose-built, fine-tuned model for leaked secret detection that reads surrounding code to flag likely credentials, including passwords with no recognisable token format, replacing the general-LLM approach behind Copilot secret scanning; existing AI-detected Password alerts were upgraded automatically. AI push protection enters private preview for GHEC and Team customers with GHSP or GHAS, AI-detected alerts enter public preview on GHES 3.23, secret checks in Copilot /security-review are coming in private preview, and the opt-in push protection and review checks consume AI Credits while AI-detected alert scans stay included with GHSP and GHAS.</t>
  </si>
  <si>
    <t xml:space="preserve">2026-10-06</t>
  </si>
  <si>
    <t xml:space="preserve">Socket introduced scanning for VS Code Marketplace extensions, extending its package risk analysis to IDE extensions (blog title; body not read).</t>
  </si>
  <si>
    <t xml:space="preserve">https://socket.dev/blog/vscode-extensions</t>
  </si>
  <si>
    <t xml:space="preserve">Wiz introduced Wiz AI SAST, an AI code scanner (Atlas-based harness, vendor-agnostic models including Google DeepMind cybermodels per vendor) that targets intent-dependent flaws such as broken access control and IDOR, correlates findings with production context on the Security Graph and feeds existing policy and remediation workflows. It is available now in Public Preview to all Wiz Code customers; languages and pricing are not stated.</t>
  </si>
  <si>
    <t xml:space="preserve">New secret scanning detectors for Lovable Labs (lovable_api_key, Lovable also joins the partner program), Pydantic Services (logfire_token, pydantic_ai_gateway_api_key) and Supabase (supabase_oauth_access_token, supabase_scoped_personal_access_token). Push protection and validity-check support for these types is not stated.</t>
  </si>
  <si>
    <t xml:space="preserve">https://github.blog/changelog/2026-10-05-secret-scanning-adds-detectors-for-lovable-supabase-and-more/</t>
  </si>
  <si>
    <t xml:space="preserve">2026-10-02</t>
  </si>
  <si>
    <t xml:space="preserve">GitLab patched a critical flaw (CVE-2026-90970, CVSS 9.9) in the self-hosted AI Gateway used by Duo Self-Hosted: an authenticated user with Duo Agent Platform access could escape the prompt template sandbox and run commands on the gateway. Fixed in AI Gateway 19.2.4, 19.3.2 and 19.4.1; GitLab.com and Dedicated were already patched (date is that of the press report).</t>
  </si>
  <si>
    <t xml:space="preserve">https://thehackernews.com/2026/10/gitlab-patches-critical-self-hosted-ai.html</t>
  </si>
  <si>
    <t xml:space="preserve">cdxgen v13.3.0 resolves C/C++ dependencies from CMake caches and compilation databases in the build tree, adds Windows container scanning through WSL, restores Swift evidence collection, shrinks and speeds up the standalone binaries, improves Ruby, JavaScript workspace and .NET accuracy, and closes six command-execution and injection vectors (per release notes).</t>
  </si>
  <si>
    <t xml:space="preserve">https://github.com/cdxgen/cdxgen/releases/tag/v13.3.0</t>
  </si>
  <si>
    <t xml:space="preserve">Grype v0.120.0 stores NVD SSVC decision points in a new v6 database decorator table, marks SLES as a comprehensive distro, adds a Locations column to the HTML report template, and signs release checksums with a Sigstore bundle.</t>
  </si>
  <si>
    <t xml:space="preserve">https://github.com/anchore/grype/releases/tag/v0.120.0</t>
  </si>
  <si>
    <t xml:space="preserve">Conviso Platform release notes add AI Pentest Assisted: a human-in-the-loop 'war room' where a lead analyst monitors AI-driven penetration test runs live, steers them with directives, and must confirm draft findings before they are promoted. Per vendor, it costs the same credits as autonomous runs; this is not a requirements-module change.</t>
  </si>
  <si>
    <t xml:space="preserve">https://docs.convisoappsec.com/releases/2026-10-02-ai-pentest-assisted</t>
  </si>
  <si>
    <t xml:space="preserve">2026-10-01</t>
  </si>
  <si>
    <t xml:space="preserve">Weekly scheduled scans for code scanning default setup and GitHub Code Quality now run only on repositories with a recent push or pull request analysis; validation scans and language-detection changes no longer keep dormant repositories marked as active for six months.</t>
  </si>
  <si>
    <t xml:space="preserve">https://github.blog/changelog/2026-10-01-scheduled-code-scanning-skips-inactive-repositories/</t>
  </si>
  <si>
    <t xml:space="preserve">Syft v1.54.0 adds a Perl ecosystem package cataloger (CPAN packages, with the Perl interpreter reported as a CPAN package) and analysis with non-daemon Podman, plus 21 bug fixes including GGUF and safetensors file handling, SPDX licence URL matching and several cataloger panics.</t>
  </si>
  <si>
    <t xml:space="preserve">https://github.com/anchore/syft/releases/tag/v1.54.0</t>
  </si>
  <si>
    <t xml:space="preserve">2026-09-30</t>
  </si>
  <si>
    <t xml:space="preserve">GitHub Team customers can now start self-serve trials (generally available) of GitHub Advanced Security (Code Security and Secret Protection) from the organisation Overview page, Billing and Licensing, or the Risk Assessment results page. Trial length and pricing are not stated in the announcement.</t>
  </si>
  <si>
    <t xml:space="preserve">https://github.blog/changelog/2026-09-30-github-advanced-security-trials-for-github-team/</t>
  </si>
  <si>
    <t xml:space="preserve">npm trusted publishing configurations can now be given opt-in permission to manage dist-tags with short-lived OIDC credentials, so maintainers no longer need a separate long-lived token for tag changes after releases or rollbacks.</t>
  </si>
  <si>
    <t xml:space="preserve">https://github.blog/changelog/2026-09-30-opt-in-dist-tag-permissions-for-npm-trusted-publishing/</t>
  </si>
  <si>
    <t xml:space="preserve">New Wiz integration pushes GitGuardian secret incidents from version control sources to Wiz as native secret findings in a daily sync, carrying repository, file path, commit, detector, validity and severity; secret values are sent only as SHA-256 hashes and findings close automatically when the incident is resolved or ignored. The same release adds a Public Monitoring agents page with classification metrics.</t>
  </si>
  <si>
    <t xml:space="preserve">https://docs.gitguardian.com/releases/saas/2026/09/30/changelog</t>
  </si>
  <si>
    <t xml:space="preserve">GitHub Team organizations can now start self-serve trials of GitHub Advanced Security, covering both GitHub Secret Protection and GitHub Code Security, from the organization Overview page, the Licensing page or the Risk Assessment completion page. Trial length and pricing were not stated in the announcement.</t>
  </si>
  <si>
    <t xml:space="preserve">https://github.blog/changelog/2026-09-30-github-advanced-security-trials-for-github-team</t>
  </si>
  <si>
    <t xml:space="preserve">Betterleaks v2.0.0-rc.1 (pre-release) reworks the scanning engine for throughput and memory, adds credential identity and permissions analysis and explicit revocation support, streaming JSON/JSONL reports and a simplified CLI; release notes warn that breaking changes to CLI, configuration, report formats and Go API may still land before v2.0.0.</t>
  </si>
  <si>
    <t xml:space="preserve">https://github.com/betterleaks/betterleaks/releases/tag/v2.0.0-rc.1</t>
  </si>
  <si>
    <t xml:space="preserve">Legit Security extends its Agentic Remediation to open-source dependency vulnerabilities: the agent identifies the vulnerable package, selects a safe upgrade, applies and verifies the fix and opens a pull request for developer review. GA or preview status is not stated, and the announcement does not cover secrets.</t>
  </si>
  <si>
    <t xml:space="preserve">https://www.globenewswire.com/news-release/2026/09/30/3372222/0/en/legit-security-launches-agentic-remediation-for-open-source-dependency-vulnerabilities.html</t>
  </si>
  <si>
    <t xml:space="preserve">Chainloop v1.112.0 lists one notable change: a specification (spec 002) for capturing AI coding sessions as evidence. The release notes show a spec only, so shipped capture functionality is unverified.</t>
  </si>
  <si>
    <t xml:space="preserve">https://github.com/chainloop-dev/chainloop/releases/tag/v1.112.0</t>
  </si>
  <si>
    <t xml:space="preserve">Legit extended Agentic Remediation from first-party code to open-source dependencies: the agent identifies direct or transitive vulnerable packages, picks a safe upgrade (minor bumps preferred), updates manifests and lockfiles, re-scans to verify and opens a pull request, with AI-assisted code adaptation for major upgrades. GA or preview status and supported ecosystems are not stated.</t>
  </si>
  <si>
    <t xml:space="preserve">https://www.legitsecurity.com/blog/agentic-remediation-just-got-bigger-now-fixing-vulnerabilities-in-your-dependencies-not-just-your-code</t>
  </si>
  <si>
    <t xml:space="preserve">Legit extended Agentic Remediation from first-party code findings to open-source dependencies: the agent locates the vulnerable package in the dependency tree, picks the minimal safe version bump, updates manifests and lockfiles, rescans before and after, and opens a pull request only when the vulnerability is resolved and no new issue is introduced. Major-version upgrades get AI-assisted code adaptation proposals marked separately from verified fixes. Vendor claim; supported ecosystems and GA or beta status not stated.</t>
  </si>
  <si>
    <t xml:space="preserve">2026-09-29</t>
  </si>
  <si>
    <t xml:space="preserve">SonarQube Server 2026.5 LTA brings the agentic features previously limited to SonarQube Cloud to self-managed deployments: Sonar Vortex, Remediation Agent and Hunter Agent are GA for Enterprise and Data Center editions (vendor press release), with central LLM provider configuration (AWS Bedrock, Azure AI Foundry, custom gateway or proxy). Release notes for 2026.5 also list C/C++ taint analysis reaching GA, SCA reachability for Java, C# and Python, new R and MuleSoft DataWeave analysis, and Security Hotspots replaced by standard security issues. As a long-term release it also rolls up earlier 2026 features such as the embedded MCP server (2026.3).</t>
  </si>
  <si>
    <t xml:space="preserve">AppScan on Cloud IAST update: Python agent 1.0.3 adds FastAPI support and generative AI monitoring for applications using the OpenAI Python library; .NET agent 1.17.3 adds configurable log directory and an updated Regex Timeout Validation rule. No further SAST changes after the 27 Sep update.</t>
  </si>
  <si>
    <t xml:space="preserve">Repository administrators can now set the runner type, custom labels and runner groups for Dependabot version and security updates per repository (GA), extending the earlier organisation-level controls across self-hosted and larger GitHub-hosted runners.</t>
  </si>
  <si>
    <t xml:space="preserve">https://github.blog/changelog/2026-09-29-repository-custom-runner-settings-for-dependabot/</t>
  </si>
  <si>
    <t xml:space="preserve">Betterleaks v1.9.0 adds 46 detection rules (including Miro, VoyageAI and Bitbucket Data Center tokens), lowers memory use and logging overhead during scans, removes duplicate PKCS#12 findings and returns an empty array instead of null for empty JSON reports.</t>
  </si>
  <si>
    <t xml:space="preserve">https://github.com/betterleaks/betterleaks/releases/tag/v1.9.0</t>
  </si>
  <si>
    <t xml:space="preserve">Cycode integrates with Hugging Face to build a unified AI model inventory across code and Hugging Face organizations, enriched with license, lineage, download and parameter metadata, with Authorized/Unauthorized status marking, audit logging and daily sync. The announcement covers AI model governance and does not involve secrets detection.</t>
  </si>
  <si>
    <t xml:space="preserve">https://cycode.com/blog/cycode-hugging-face/</t>
  </si>
  <si>
    <t xml:space="preserve">Nightfall expands its integration with Claude's Compliance API to Claude Enterprise and Claude Platform, detecting PII, PHI, PCI, credentials and source code in Claude conversations, with real-time inspection of prompts and responses through inference hooks (per vendor); available now for Anthropic-hosted Claude deployments.</t>
  </si>
  <si>
    <t xml:space="preserve">https://www.nightfall.ai/news/nightfall-expands-its-integration-with-claudes-compliance-api-bringing-its-ai-native-dlp-to-claude-enterprise-and-claude-platform</t>
  </si>
  <si>
    <t xml:space="preserve">AppScan on Cloud Sept 29 update: IAST Python agent 1.0.3 adds FastAPI support and generative AI monitoring for applications using the OpenAI Python library; IAST .NET agent 1.17.3 adds log directory configuration via web.config or appsettings.json and an updated Regex Timeout Validation rule.</t>
  </si>
  <si>
    <t xml:space="preserve">Invicti announced it was named a Leader in the IDC MarketScape: Worldwide Dynamic Application Security Testing 2026 Vendor Assessment (doc US54119126, 16 vendors evaluated), citing proof-based scanning, AI-assisted login and form filling, and multilayer API discovery. The assessment covers Invicti DAST; ASPM is not specifically assessed. Source is the vendor press release.</t>
  </si>
  <si>
    <t xml:space="preserve">https://www.prnewswire.com/news-releases/invicti-named-a-leader-in-2026-idc-marketscape-for-dynamic-application-security-testing-302892339.html</t>
  </si>
  <si>
    <t xml:space="preserve">Perimeter page gains a Coverage Hub with four cards (installed integrations, monitored sources, successful scans, owned sources) and one-click filters for unmonitored, unscanned or unassigned sources; adds a Teams column and a 'Has open incidents' filter that replaces the deprecated Health filter.</t>
  </si>
  <si>
    <t xml:space="preserve">https://docs.gitguardian.com/releases/saas/2026/09/28/changelog</t>
  </si>
  <si>
    <t xml:space="preserve">Noma announced endpoint agent security (vendor press release; GA or preview status not stated): a live inventory of agents, MCP servers and skills on managed devices, a governed registry with approval status, identity-aware tool and action level access control, and AI-DR runtime protection for coding agents and assistants (Claude Code, Claude Cowork, Cursor, Codex, Windsurf, Kiro, Antigravity, OpenClaw), deployed through EDR/MDM integration.</t>
  </si>
  <si>
    <t xml:space="preserve">https://www.prnewswire.com/news-releases/noma-extends-agent-security-and-governance-to-the-employee-endpoint-302890925.html</t>
  </si>
  <si>
    <t xml:space="preserve">AppScan on Cloud: AI SAST can now detect business-logic flaws when enabled in SAST scan configuration; new AI settings let admins enable/disable AI Assistant, RapidFix, AI SAST and DAST IFA per organisation or asset group; plus multi-application reports and SCM bulk repository onboarding.</t>
  </si>
  <si>
    <t xml:space="preserve">Mend SCA 26.9.1 adds Bun package manager support (open beta) for JavaScript dependency detection, optimises reachability engine memory use, improves Java multi-module Maven accuracy and per-module Gradle timeout handling, and fixes Jira issue creation for application-level roles.</t>
  </si>
  <si>
    <t xml:space="preserve">https://docs.mend.io/platform/latest/mend-sca-release-notes</t>
  </si>
  <si>
    <t xml:space="preserve">Xray 3.155.3 adds Threat Hub to the Xray Overview (enabled by default, shows each feed item's primary source link, impact analysis for entitled users), adds JFrog Research Severity and CVSS v4 score and vector columns to vulnerability report CSV exports, lets source code scans run with Xray permissions only, and speeds up violation processing.</t>
  </si>
  <si>
    <t xml:space="preserve">Endor Labs September 2026 release notes (month-level page, exact day not stated; dated to match the 27 Sep sweep) add Conan support for C/C++ SCA with transitive resolution from conanfile.txt/conanfile.py and private registries (Artifactory, CodeArtifact), a tenant-wide Threat Center for emerging malware, vulnerabilities and AI-model threats, Package Firewall for VS Code extensions enforced via MDM (Intune, Jamf, Kandji), NuGet Package Firewall, incremental container scanning against a baseline, base image remediation with upgrade impact analysis, malware exposure classification (Definitely vs Potentially Affected), and asynchronous SBOM/VEX export.</t>
  </si>
  <si>
    <t xml:space="preserve">https://docs.endorlabs.com/releasenotes/september-2026</t>
  </si>
  <si>
    <t xml:space="preserve">AppScan on Cloud September 27 release lets SCA scan SCM repositories and ZIP archives directly, resolving dependencies from manifest files when build artifacts are unavailable; same release adds RapidFix admin controls at org/asset-group level, AI SAST business-logic flaw detection, bulk SCM repository onboarding, multi-application reports and DAST issue retest.</t>
  </si>
  <si>
    <t xml:space="preserve">AppScan on Cloud adds admin AI settings to enable or disable AI Assistant, RapidFix, AI SAST and DAST IFA individually (scoped to asset groups), AI SAST business-logic flaw detection, multi-application reports and SCM bulk repository onboarding.</t>
  </si>
  <si>
    <t xml:space="preserve">Xray 3.155.3 adds a Threat Hub feed on the Overview page with source links and impact search for SBOM-entitled users, lets source code scans run with Xray permissions only, adds JFrog Research Severity and CVSS v4 details to CSV report exports, and speeds up violation processing. A fix-only 3.153.10 followed on 2026-09-30.</t>
  </si>
  <si>
    <t xml:space="preserve">September 2026 release notes (page carries month only, exact day not stated; verified 27 Sep) add asynchronous SBOM and VEX export as background jobs for projects, findings or package versions via the Reports page and an AsyncJob REST resource, Conan C/C++ SCA support, Package Firewall for VS Code extensions and NuGet, incremental container scanning, base image remediation, malware exposure classification, a tenant-wide Threat Center, and change Coding Agent Governance 'Ask Permission' policies to advisory-only in Codex.</t>
  </si>
  <si>
    <t xml:space="preserve">agent-bom v0.106.1 scopes the exposure-paths and should-i-deploy graph REST routes to the authenticated tenant, isolates demo data to prevent cross-tenant leakage, and adds bounded tenant-scoped relationship paging across SQLite, Postgres and REST backends.</t>
  </si>
  <si>
    <t xml:space="preserve">https://github.com/msaad00/agent-bom/releases</t>
  </si>
  <si>
    <t xml:space="preserve">New entrant</t>
  </si>
  <si>
    <t xml:space="preserve">Added to landscape; OWASP project designation; website lists v0.4.0 with BYO-LLM threat suggestion and MCP server</t>
  </si>
  <si>
    <t xml:space="preserve">Shutdown</t>
  </si>
  <si>
    <t xml:space="preserve">Verified 27 Sep 2026: remysec.com no longer serves the product (it now hosts an unrelated gambling affiliate page) and Y Combinator lists the company as inactive with a pivot to healthcare insurance automation; treat Remy Security as defunct (exact shutdown date not published).</t>
  </si>
  <si>
    <t xml:space="preserve">AppScan on Cloud Sept 27 update adds AI SAST business-logic flaw detection in scan configuration, per-feature admin controls to enable/disable AI Assistant, RapidFix, AI SAST and DAST IFA by asset group, multi-application consolidated reporting, bulk repository onboarding, direct SCM/ZIP scanning for SCA, custom proxy for private-site DAST and single-issue retest.</t>
  </si>
  <si>
    <t xml:space="preserve">September 2026 release notes (month-level page, exact day not stated; dated to match the 27 Sep sweep) add Conan C/C++ dependency resolution, a tenant-wide Threat Center for emerging malware, packages, vulnerabilities and AI models, Package Firewall blocking of malicious VS Code extensions via MDM, incremental container scanning against a baseline, base-image versus application-layer attribution with upgrade suggestions, malware exposure classification (Definitely vs Potentially Affected), NuGet support in Package Firewall, watchOS/tvOS/visionOS for Bazel, Codex policy adjustments and async SBOM/VEX exports. Threat Center and the VS Code extension firewall began rolling out per a Sept 9 blog post updated Sept 16 (vendor claim on availability).</t>
  </si>
  <si>
    <t xml:space="preserve">STRIDE GPT v0.20.0 added OpenRouter as a model provider, resumable /analyze agent runs from checkpoints, evidence-backed threat reporting via a dedicated tool and per-phase token usage tracking, plus sandboxing and CodeQL hardening fixes.</t>
  </si>
  <si>
    <t xml:space="preserve">https://github.com/mrwadams/stride-gpt/releases/tag/v0.20.0</t>
  </si>
  <si>
    <t xml:space="preserve">2026-09-25</t>
  </si>
  <si>
    <t xml:space="preserve">Agentic autofix (public preview) now reads and writes Copilot Memory, reusing prior fix patterns when resolving security alerts and storing new ones for other Copilot features.</t>
  </si>
  <si>
    <t xml:space="preserve">https://github.blog/changelog/2026-09-25-agentic-autofix-now-uses-copilot-memory</t>
  </si>
  <si>
    <t xml:space="preserve">CodeQL 2.27.1 adds new C/C++ and C# queries, Kotlin 2.4.20 support, Go 1.27 stdlib dataflow models, new C/C++ taint models and Fastify recognition for JS/TS.</t>
  </si>
  <si>
    <t xml:space="preserve">https://github.blog/changelog/2026-09-25-codeql-2-27-1-adds-c-and-c-query-and-kotlin-2-4-20-support</t>
  </si>
  <si>
    <t xml:space="preserve">PMD 7.28.0 adds five Java rules (including InternalApiUsage and OnDemandImport) and one Apex rule, type-aware Kotlin XPath attributes and functions, and fixes false positives in the HardCodedCryptoKey security rule.</t>
  </si>
  <si>
    <t xml:space="preserve">https://github.com/pmd/pmd/releases/tag/pmd_releases/7.28.0</t>
  </si>
  <si>
    <t xml:space="preserve">AI Hooks now withhold tool output containing secrets from the model on Claude Code, Codex and Mistral Vibe, and extend secret blocking in commands and file reads to Amazon Kiro and JetBrains Junie CLI (requires ggshield 1.55.0+); Cursor, VS Code and Copilot CLI tool outputs still reach the model.</t>
  </si>
  <si>
    <t xml:space="preserve">https://docs.gitguardian.com/releases/saas/2026/09/25/changelog</t>
  </si>
  <si>
    <t xml:space="preserve">Self-hosted 2026.9 brings GitGuardian Bridge (scan isolated network sources without inbound connections), endpoint honeytokens (ggshield plants decoy AWS credentials to catch credential-harvesting malware, needs Endpoint Protection), ggscout secret classification by detector and family in the NHI inventory, and AI Hooks plus agent/MCP inventory to self-hosted customers.</t>
  </si>
  <si>
    <t xml:space="preserve">https://docs.gitguardian.com/releases/self-hosted/2026-09-changelog</t>
  </si>
  <si>
    <t xml:space="preserve">Agentic autofix (public preview) now reads and writes Copilot Memory to reuse prior fix patterns when resolving security alerts; announcement does not state secret scanning alert coverage.</t>
  </si>
  <si>
    <t xml:space="preserve">GitHub agentic autofix now uses Copilot Memory to review stored context when resolving security alerts and to persist fix patterns for reuse across autofix and other Copilot capabilities.</t>
  </si>
  <si>
    <t xml:space="preserve">Lineaje announced Frontier Defense as a generally available standalone product: a multi-agent AI engine (nine isolated sandboxes in a Create/Judge/Verify pipeline, gVisor runtime validation) that discovers novel vulnerabilities, validates exploitability, generates verified exploits and compatible patches, and verifies remediation; supports Anthropic, OpenAI, Llama, Gemini, Gemma, OpenRouter and Bedrock models.</t>
  </si>
  <si>
    <t xml:space="preserve">https://www.lineaje.com/post/frontier-defense-vulnerable-code-in-verified-patches-out</t>
  </si>
  <si>
    <t xml:space="preserve">Agentic autofix (public preview since July 2026) now uses Copilot Memory when enabled: it reads existing repository memories for context when fixing code scanning alerts and stores fix patterns as memories reused by later autofixes, Copilot code review and cloud agent.</t>
  </si>
  <si>
    <t xml:space="preserve">https://github.blog/changelog/2026-09-25-agentic-autofix-now-uses-copilot-memory/</t>
  </si>
  <si>
    <t xml:space="preserve">CodeQL 2.27.1 adds a new C/C++ query and Kotlin 2.4.20 support for code scanning.</t>
  </si>
  <si>
    <t xml:space="preserve">https://github.blog/changelog/</t>
  </si>
  <si>
    <t xml:space="preserve">2026-09-24</t>
  </si>
  <si>
    <t xml:space="preserve">Semgrep Supply Chain (same platform) adds Malware Detection and Response Automation with expert-verified rules and org-wide response workflows (Jira/Slack), plus a Malware Firewall in private beta; SCA module, not Semgrep Code.</t>
  </si>
  <si>
    <t xml:space="preserve">https://semgrep.dev/blog/2026/introducing-malware-detection-and-response-automation</t>
  </si>
  <si>
    <t xml:space="preserve">Corgea changelog: file include rules (glob) to scan normally-skipped paths, guided pentest target setup with multi-account/TOTP login, on-demand CycloneDX SBOM export, faster Vulnerabilities Workbench and lower GitHub API use on PR scans.</t>
  </si>
  <si>
    <t xml:space="preserve">https://corgea.com/blog/changelog-september-24-2026</t>
  </si>
  <si>
    <t xml:space="preserve">Semgrep Supply Chain added Malware Detection (AI-assisted, expert-verified incident rules added within minutes plus automated full rescans) and Response Automation (org-wide policies that open Jira tickets, send Slack alerts or trigger rescans) as GA; a Malware Firewall embedded in Semgrep Guardian that blocks malicious packages at install is in private beta.</t>
  </si>
  <si>
    <t xml:space="preserve">https://semgrep.dev/blog/2026/introducing-malware-detection-and-response-automation/</t>
  </si>
  <si>
    <t xml:space="preserve">Chainguard's FIPS Provider for OpenSSL v3.6 received NIST FIPS 140-3 validation (certificate #5523) with approved hybrid post-quantum key exchange, rolling into Chainguard FIPS container images from 1 October 2026.</t>
  </si>
  <si>
    <t xml:space="preserve">https://www.chainguard.dev/unchained/announcing-chainguards-industry-first-validated-fips-140-3-module-delivering-post-quantum-readiness</t>
  </si>
  <si>
    <t xml:space="preserve">Konvu described its AI reproduction pipeline, which deploys the affected software version in an isolated environment, runs tiered automated exploit attempts and returns an evidence-backed exploitability verdict; bug bounty reproduction is shipped while the SCA and SAST paths are rolling out in early access to customers (vendor claim, vendor blog).</t>
  </si>
  <si>
    <t xml:space="preserve">GitGuardian Mixin Kit for Docker Sandboxes auto-installs ggshield and its three AI hooks (prompt, pre-tool-use, post-tool-use) inside sandboxed Claude Code, Cursor, Codex and Copilot sessions; published on Docker Hub and GitHub.</t>
  </si>
  <si>
    <t xml:space="preserve">https://blog.gitguardian.com/gitguardian-docker-sandbox-mixin-kit/</t>
  </si>
  <si>
    <t xml:space="preserve">Docker Sandbox Mixin Kit packages ggshield with pre-configured AI hooks for Claude Code, Cursor, Codex and Copilot inside Docker Sandboxes (Docker Hub image plus GitHub source); no new ggshield CLI release in the window (latest remains v1.52.2).</t>
  </si>
  <si>
    <t xml:space="preserve">ggshield 1.55.0 adds 'ggshield machine setup' hooks for Amazon Kiro and JetBrains Junie CLI, withholds secret-bearing tool output from Claude Code and Codex instead of passing it with a warning, and makes the API timeout configurable (1 to 3600 s).</t>
  </si>
  <si>
    <t xml:space="preserve">https://github.com/GitGuardian/ggshield/releases/tag/v1.55.0</t>
  </si>
  <si>
    <t xml:space="preserve">Apiiro integrated Anthropic's Claude Compliance API into the Apiiro Software Graph to extend it into a unified AI Bill of Materials covering AI coding agents and supply chain risk (post title and summary verified from the Apiiro blog index; the post body could not be fetched).</t>
  </si>
  <si>
    <t xml:space="preserve">https://apiiro.com/blog/</t>
  </si>
  <si>
    <t xml:space="preserve">Wiz named a Leader in The Forrester Wave: Proactive Security Platforms, Q3 2026, with top scores in cloud visibility, application visibility, exposure validation, remediation augmentation, platform cohesion, innovation and roadmap; Forrester cites the Green Agent tracing risks back to code and IaC.</t>
  </si>
  <si>
    <t xml:space="preserve">https://www.wiz.io/blog/forrester-wave-for-proactive-security-2026</t>
  </si>
  <si>
    <t xml:space="preserve">CrowdStrike Falcon Exposure Management named a Leader in The Forrester Wave: Proactive Security Platforms, Q3 2026, with the highest Strategy score and maximum scores in Innovation and Roadmap; ASPM is evaluated as part of the Falcon platform rather than standalone.</t>
  </si>
  <si>
    <t xml:space="preserve">https://www.crowdstrike.com/en-us/blog/crowdstrike-named-leader-forrester-wave-proactive-security-platforms-q3-2026/</t>
  </si>
  <si>
    <t xml:space="preserve">Semgrep Supply Chain malware detection and response automation is GA for all Supply Chain customers: expert-verified, AI-assisted rules for new package-compromise incidents are pushed within minutes, repos auto-rescanned, affected projects notified, and org-wide policies can auto-create Jira tickets or Slack alerts; a malware firewall embedded in Semgrep Guardian is in private beta.</t>
  </si>
  <si>
    <t xml:space="preserve">Corgea weekly changelog adds file include rules (glob-based scanning of previously skipped paths), a guided pentest target setup wizard with multi-account and TOTP login, on-demand CycloneDX SBOM downloads per scan, GitHub team sync and API support for scan manifests and incremental baselines.</t>
  </si>
  <si>
    <t xml:space="preserve">2026-09-23</t>
  </si>
  <si>
    <t xml:space="preserve">Veracode CLI update: the 'veracode fix sca' command gets performance improvements for JavaScript projects. Same-day DAST update allows multiple teams to be assigned to a DAST target. No Static Analysis changes were listed in the window.</t>
  </si>
  <si>
    <t xml:space="preserve">Snyk disclosed a change to the Snyk Code Priority Score: the 200-point factor for rules that had a fix example was retired (removed in the 17 Aug 2026 release, effective 1 Sep 2026), so findings were reordered without any being added, removed or reclassified. Snyk apologised for earlier release notes saying no action was required.</t>
  </si>
  <si>
    <t xml:space="preserve">https://updates.snyk.io/a-change-to-the-snyk-code-priority-score/</t>
  </si>
  <si>
    <t xml:space="preserve">The Agent Development Security (ADS) installer now ships as a signed macOS .pkg and Windows .msi downloadable from Settings, removing the need for custom deployment scripts.</t>
  </si>
  <si>
    <t xml:space="preserve">https://updates.snyk.io/ads-installer-now-available-as-a-packaged-binary/</t>
  </si>
  <si>
    <t xml:space="preserve">Snyk for Jira is moving from Atlassian Connect to Atlassian Forge: new installations use the Forge version from 30 Sep 2026 and existing installations are migrated during October, with permissions, configuration and existing Jira issues carried over (per vendor).</t>
  </si>
  <si>
    <t xml:space="preserve">https://updates.snyk.io/snyk-for-jira-moves-from-atlassian-connect-to-forge/</t>
  </si>
  <si>
    <t xml:space="preserve">Snyk CLI v1.1307.4 adds an experimental 'snyk studio' command that installs background security scanning into AI coding tools (Cursor, Claude Code, Codex, Copilot, Gemini, Kiro, Windsurf), and adds severity, breakability and exclude-ID filters to 'snyk fix --agentic', which now keeps failed fix changes for review by default. It also fixes --code and other scan flags being silently dropped for orgs on the unified test API.</t>
  </si>
  <si>
    <t xml:space="preserve">https://github.com/snyk/cli/releases/tag/v1.1307.4</t>
  </si>
  <si>
    <t xml:space="preserve">Critical patch release 19.4.1, 19.3.3 and 19.2.7 fixes two CVSS 9.9 code-execution bugs in CI/CD regular expression parsing (CVE-2026-89078, CVE-2026-93577) and a Duo job-troubleshooting issue that could expose CI/CD variable values from debug traces (CVE-2026-92470). Self-managed instances should upgrade; no SAST feature changes.</t>
  </si>
  <si>
    <t xml:space="preserve">https://docs.gitlab.com/releases/patches/patch-release-gitlab-19-4-1-released/</t>
  </si>
  <si>
    <t xml:space="preserve">Polaris September 2026 update: bring-your-own-LLM for Signal AI code analysis (each of six agents can use a different provider/endpoint, results uploaded as SARIF under a new AI tool type), central rule-profile configuration enforced across CI/CLI, CWE Top 25 2024/2025 support, PR workflows for self-hosted GitHub/GitLab/Azure DevOps Server/Bitbucket DC, and async SCA alerts.</t>
  </si>
  <si>
    <t xml:space="preserve">Cycode extended ADLC Security to developer workstations with Workstation Protection (early access): intercepts package installs in real time, enforces release-age cooldown policies and threat-intel blocking, deployed via MDM, covering machines running coding agents.</t>
  </si>
  <si>
    <t xml:space="preserve">Cursor launched Security Review (with Rollouts) for Teams and Enterprise: reads each PR in codebase context and posts one review comment listing exploitable bugs (injection, authn/authz bypass, SSRF, unsafe deserialisation, committed secrets, vulnerable dependencies) with severity, attack path and proposed fix; Bugbot keeps style/quality.</t>
  </si>
  <si>
    <t xml:space="preserve">https://cursor.com/changelog/rollouts-and-security-reviewer</t>
  </si>
  <si>
    <t xml:space="preserve">Snyk Agent Supply Chain Security (ADS) installer now ships as signed macOS .pkg and Windows .msi packages that register their own scheduled job, removing the dependency on an MDM tool for deployment.</t>
  </si>
  <si>
    <t xml:space="preserve">Snyk CLI v1.1307.4 adds an experimental 'snyk studio' command that sets up Snyk Studio in AI coding tools (Cursor, Claude Code, Copilot, Gemini and others) and adds --severity-filter, --breakability-filter and --exclude-ids options to 'snyk fix --agentic'; failed fixes are now kept for review unless --enable-revert is set.</t>
  </si>
  <si>
    <t xml:space="preserve">Polaris September 2026 update adds async SCA notifications for new or reclassified critical/high vulnerabilities, central rule configuration with hierarchical policy inheritance, self-hosted SCM onboarding (GitHub, GitLab, Azure DevOps Server, Bitbucket) with PR-driven remediation, CWE Top 25 2024/2025, and Signal AI Code Analysis with bring-your-own LLM (OpenAI, Azure OpenAI, AWS Bedrock, GCP Vertex AI) run on customer infrastructure.</t>
  </si>
  <si>
    <t xml:space="preserve">Veracode CLI v2.52.1 improves performance of the 'veracode fix sca' command for JavaScript projects; same update adds multi-team assignment for DAST targets.</t>
  </si>
  <si>
    <t xml:space="preserve">Cycode launched Workstation Protection (early access), an MDM-deployed control that intercepts package installs on developer machines, blocking known-malicious packages via threat-intel feeds and enforcing cooldown policies, extending ADLC Security to workstations.</t>
  </si>
  <si>
    <t xml:space="preserve">Cycode Workstation Protection (early access) intercepts package installs on developer machines with cooldown and threat-intel blocking, inventories shadow AI tools and MCP servers, and blocks secrets exposure in agent prompts and file reads.</t>
  </si>
  <si>
    <t xml:space="preserve">Static Analysis engine v2026.09 improves .NET detection of CWE-259 and CWE-798 hardcoded-credential flaws with fewer false positives; adds Go 1.27, Android 16 and iOS 27 support.</t>
  </si>
  <si>
    <t xml:space="preserve">Polaris September 2026 update: Signal AI Bring-Your-Own-LLM (OpenAI, Azure OpenAI, Bedrock, Vertex) with results uploaded as SARIF under a new AI tool type, central rule configuration with hierarchical inheritance, CWE Top 25 policies, and self-hosted SCM PR remediation for GitHub, GitLab, ADO Server and Bitbucket DC.</t>
  </si>
  <si>
    <t xml:space="preserve">Snyk CLI v1.1307.4 adds an experimental 'snyk studio' command that sets up Snyk Studio inside supported AI coding tools, adds severity and breakability filter flags for 'snyk fix --agentic', and fixes flag routing for --iac, --docker, --container and --code (published date, page shows '4 days ago' relative to 2026-09-28).</t>
  </si>
  <si>
    <t xml:space="preserve">Polaris September 2026 update adds bring-your-own-LLM for Black Duck Signal AI code analysis (per-agent provider configuration), unified management of AI findings alongside deterministic scan results, central rule profiles applied across the org, 2024/2025 CWE Top 25 support, asynchronous SCA notifications for critical dependency changes between scans, and on-premises SCM support for self-hosted GitHub, GitLab, Azure DevOps Server and Bitbucket.</t>
  </si>
  <si>
    <t xml:space="preserve">Veracode CLI v2.52.1 ships performance improvements for the 'veracode fix sca' command on JavaScript projects; same-day platform notes add multiple team assignment for DAST targets (not SBOM-related).</t>
  </si>
  <si>
    <t xml:space="preserve">DevArmor published an IriusRisk-to-DevArmor migration path: import IriusRisk data-model or bulk XML exports, then a 30-day rollout covering SSO, GitHub/Jira integration, Design Reviewer (Jira tickets and Google Docs designs), Code Reviewer and AI Guardrails.</t>
  </si>
  <si>
    <t xml:space="preserve">https://www.devarmor.com/blog/migrating-from-iriusrisk-to-devarmor</t>
  </si>
  <si>
    <t xml:space="preserve">Prime Security blog post (23 Sep 2026) states the product is priced on consumption (code volume and risk) rather than per developer seat; vendor claim, no list prices published. Product page verified this session: now positioned as the Prime Security Platform / Agentic Product Security Platform with autonomous design reviews, AI code review, coding-agent guardrails and continuous white-box pentesting, integrating GitHub, GitLab, Claude Code, Cursor, Jira, Confluence, Azure DevOps, Linear, Terraform and Miro.</t>
  </si>
  <si>
    <t xml:space="preserve">https://www.primesec.ai/resources/code-volume-headcount-appsec-pricing</t>
  </si>
  <si>
    <t xml:space="preserve">Vendor blog post 'Code Volume Diverged From Headcount. Pricing Must Follow' states Prime prices its product on consumption rather than per seat, arguing seat-based AppSec pricing no longer tracks AI-generated code volume (vendor claim; no list price published).</t>
  </si>
  <si>
    <t xml:space="preserve">Snyk CLI v1.1307.4 adds an experimental 'snyk studio' command for AI coding tool integration and filtering flags for 'snyk fix --agentic' (severity, breakability, ID exclusion); failed fixes now keep their changes by default, and a routing bug that could silently drop --iac, --docker, --container and --code flags for organisations on the unified test API is fixed.</t>
  </si>
  <si>
    <t xml:space="preserve">https://updates.snyk.io/announcing-snyk-cli-v1-1307-4/</t>
  </si>
  <si>
    <t xml:space="preserve">Snyk Evo Agent Supply Chain Security (ADS) installer is now available as signed macOS and Windows packages downloadable from Evo Settings; the installers register scheduled jobs so scans run independently of MDM policies, replacing custom deployment scripts.</t>
  </si>
  <si>
    <t xml:space="preserve">Snyk announced a change to the Snyk Code Priority Score: a 200-point factor that credited findings whose rules had fix examples was removed (effective 1 Sept 2026). Findings are reordered but none are added, removed or re-rated.</t>
  </si>
  <si>
    <t xml:space="preserve">Polaris September 2026 update adds bring-your-own-LLM for Black Duck Signal AI code analysis (six configurable agents with per-agent model/provider settings), unified AI findings alongside deterministic results, central rule profiles inherited across org/app/project, self-hosted SCM support (GitHub Enterprise Server, GitLab self-managed, Azure DevOps Server, Bitbucket Data Center) with PR-driven remediation, and async SCA change alerts.</t>
  </si>
  <si>
    <t xml:space="preserve">GitLab Critical Patch Release 19.4.1, 19.3.3 and 19.2.7 (CE and EE) ships 11 security fixes from Critical to Low severity, including CVE-2026-89078 (double free in regex parser) and CVE-2026-93577 (integer overflow in regex compiler), both CVSS 9.9 and allowing code execution on the GitLab server by an authenticated user. Self-managed instances need to upgrade.</t>
  </si>
  <si>
    <t xml:space="preserve">Cycode launched Workstation Protection (early access) extending ADLC Security to developer machines via MDM: cooldown policies refuse freshly published package versions and threat-intel blocking stops known-malicious packages before install, aimed at AI agents installing packages without review.</t>
  </si>
  <si>
    <t xml:space="preserve">Aikido announced a partnership with Deel: per vendor, companies set up Aikido once through Deel and security coverage across code, cloud and devices is applied automatically for each new hire.</t>
  </si>
  <si>
    <t xml:space="preserve">https://www.aikido.dev/blog/aikido-deel-partnership</t>
  </si>
  <si>
    <t xml:space="preserve">2026-09-22</t>
  </si>
  <si>
    <t xml:space="preserve">Aikido released Altar-1, an open-weight security model pruned from Z.AI GLM-5.3 (328 GB, runs on 4x H200 with vLLM) that powers the Aikido Machine autonomous pentest appliance fully on-prem/air-gapped; weights on Hugging Face. Not stated to power SAST AutoFix/AutoTriage.</t>
  </si>
  <si>
    <t xml:space="preserve">https://securityboulevard.com/2026/09/aikido-altar-brings-glm-5-3-security-workloads-on-prem/</t>
  </si>
  <si>
    <t xml:space="preserve">Kodem joined OpenAI's Daybreak Cyber Partner Program, gaining access to OpenAI frontier cyber models for exploitability validation against loaded application state, per-agent governance decisions and ADR detection/response.</t>
  </si>
  <si>
    <t xml:space="preserve">https://www.kodemsecurity.com/resources/kodem-joins-openai-daybreak-cyber-partner-program</t>
  </si>
  <si>
    <t xml:space="preserve">Snyk made an Evo MCP server available so MCP clients such as Claude Code and Cursor can query the Evo AI-SPM asset inventory (models, agents, MCP servers, skills), policy violations and create policies without leaving the agent.</t>
  </si>
  <si>
    <t xml:space="preserve">https://snyk.io/blog/so-i-asked-my-agent-instead/</t>
  </si>
  <si>
    <t xml:space="preserve">Expanded Okta integration, available through the Okta Integration Network, adds identity-aware data security and runtime guardrails for AI agents, including MCP server discovery and governance and detection of credentials and secrets leakage (vendor claim: 95% precision). An identity-aware agent catalog, lifecycle propagation, policy drift detection and ISPM enrichment are in preview, targeted for Q4 2026.</t>
  </si>
  <si>
    <t xml:space="preserve">https://www.nightfall.ai/news/nightfall-ai-delivers-identity-aware-data-security-and-runtime-guardrails-for-ai-agents-with-expanded-okta-integration</t>
  </si>
  <si>
    <t xml:space="preserve">cdxgen v13.2.0 adds native Kotlin evidence via the kosi companion binary, expands AI-BOM coverage (GGUF, safetensors, ONNX and PyTorch pickle checkpoints flagged cdx:ai:unsafeDeserialization, Ollama/LM Studio runtimes), reads MCP client configs for Cursor/Windsurf/Zed/Codex plus MCP Registry server.json and MCPB/DXT bundles, and introduces an 'agentic' project type that inventories installed coding assistants; also first-class Elm and Svelte support and corrected post-quantum crypto OIDs.</t>
  </si>
  <si>
    <t xml:space="preserve">https://github.com/CycloneDX/cdxgen/releases/tag/v13.2.0</t>
  </si>
  <si>
    <t xml:space="preserve">Sonatype achieved Awardable status on the US Department of Defense Platform One Solutions Marketplace, making Nexus One (Lifecycle, Nexus Repository, Firewall, Guide, SBOM Manager) procurable by DoW organisations without manual review; marketplace availability rather than a product feature.</t>
  </si>
  <si>
    <t xml:space="preserve">https://www.sonatype.com/blog/sonatype-is-now-awardable-on-the-platform-one-solutions-marketplace</t>
  </si>
  <si>
    <t xml:space="preserve">Wiz MCP WIN partners endpoint is GA, letting partner and customer AI agents (Claude Code, Cursor, GitHub Copilot) pull Wiz Issues, Findings and attack paths on demand and build WIN integrations with live API knowledge.</t>
  </si>
  <si>
    <t xml:space="preserve">https://www.wiz.io/blog/wiz-mcp-agent-integrations</t>
  </si>
  <si>
    <t xml:space="preserve">DefectDojo Pro v3.3.200 adds Dynamic Scanning (DAST), AI Agent Red Teaming as a new Sensei capability, versioned vulnerability response policies with response-clock evaluation and incident escalation, compliance packs (PCI DSS, FDA cyber device, CRA Article 14 reporting), and reachability verdicts for Aqua Supply Chain.</t>
  </si>
  <si>
    <t xml:space="preserve">https://docs.defectdojo.com/releases/pro/changelog/</t>
  </si>
  <si>
    <t xml:space="preserve">2026-09-21</t>
  </si>
  <si>
    <t xml:space="preserve">Week of 21 Sep 2026 release notes: SCIM provisioning of users and groups from identity providers such as Okta and Microsoft Entra ID is in public beta, the billing interface was redesigned, and Supply Chain now shows active or recent incidents at the top of the Advisories page. No Semgrep Code or Assistant changes listed.</t>
  </si>
  <si>
    <t xml:space="preserve">https://docs.semgrep.dev/release-notes/2026-09-21</t>
  </si>
  <si>
    <t xml:space="preserve">Aikido released Altar, an open-weight security model pruned and quantised from GLM-5.3 (1.51 TB to 328 GB, ~92% of parent vulnerability coverage) that runs on a 4x H200 node with vLLM, published on Hugging Face and offered for on-prem/air-gapped deployment to power Aikido Machine, Aikido Attack, Code Security Audit and Deep PR Review.</t>
  </si>
  <si>
    <t xml:space="preserve">GitHub Enterprise Cloud enterprise owners can export a full inventory of credentials with enterprise access (SSH keys, PATs, OAuth and GitHub App tokens) for audit correlation; GHES support planned.</t>
  </si>
  <si>
    <t xml:space="preserve">https://github.blog/changelog/2026-09-21-github-enterprise-adds-credential-inventory-exports</t>
  </si>
  <si>
    <t xml:space="preserve">Aikido Altar-1, an open-weight model pruned from GLM-5.3 (328 GB, runs on 4x H200 via vLLM), released on Hugging Face to power on-prem/air-gapped Aikido Machine pentesting; not positioned for secrets detection.</t>
  </si>
  <si>
    <t xml:space="preserve">Red Hat Product Security open-sourced agentic-threat-modeling (Apache 2.0), a Lola module that runs STRIDE/PASTA/LINDDUN/VAST/Attack Trees/OCTAVE inside Claude Code, Cursor and Gemini CLI and emits a THREAT_MODEL.md with code-cited threats and mitigations.</t>
  </si>
  <si>
    <t xml:space="preserve">Aikido released Altar (Altar-1), an open-weight security model pruned from GLM-5.3 to 328 GB (runs on a 4x H200 node with vLLM, weights on Hugging Face) that powers Aikido Machine, Aikido Attack, Code Security Audit and Deep PR Review fully on-prem/air-gapped; internal CVE benchmark 60.4% recall vs 65.6% for the parent model.</t>
  </si>
  <si>
    <t xml:space="preserve">Phoenix Security open-sourced (MIT) a Python CLI ('phx', via pipx) and an MCP server (15 read and 19 write tools, read-only mode) over its v1.27 REST API so teams can query and act on risk posture from the terminal, CI/CD, Claude Code, Cursor, Windsurf or ChatGPT.</t>
  </si>
  <si>
    <t xml:space="preserve">Week of Sept 21 release notes: SCIM provisioning for users and groups with Okta and Microsoft Entra ID enters public beta; billing gets multi-product checkout; Supply Chain shows active and recent incidents on the Advisories page; API deprecation policies and changelogs published for API v1 and v2; fixes for Jira reconnection, repository sync and Agentic Workflows commit status retries.</t>
  </si>
  <si>
    <t xml:space="preserve">https://docs.semgrep.dev/release-notes/</t>
  </si>
  <si>
    <t xml:space="preserve">2026-09-20</t>
  </si>
  <si>
    <t xml:space="preserve">Fortify Code Security extension for VS Code 26.4 (posted approx. 20 Sep 2026): apply Aviator remediation fixes directly in the IDE, Fortify MCP server support in VS Code spanning Core Application Security, ScanCentral SAST/DAST and Remediation Aviator, auto-updating fcli skills/agents, support for AWS Kiro and Google Antigravity, and local SAST via Maven/Gradle/MSBuild.</t>
  </si>
  <si>
    <t xml:space="preserve">https://community.opentext.com/cybersec/fortify/w/tips/54207/fortify-code-security-extension-for-visual-studio-code-26-4-released</t>
  </si>
  <si>
    <t xml:space="preserve">Dependency-Track 5.1.1 backport release refactors component metrics computation to avoid bad query plans and fixes 21 bugs including versionless PURLs not being analysed, CVSSv4 score calculation, NVD mirroring, GitHub Advisories proxy auth and v4-to-v5 migration deduplication.</t>
  </si>
  <si>
    <t xml:space="preserve">https://github.com/DependencyTrack/dependency-track/releases/tag/5.1.1</t>
  </si>
  <si>
    <t xml:space="preserve">OWASP Cornucopia v3.5.4 shipped as a maintenance release (dependency bumps, sveltekit-i18n 3.0 migration) and added documentation for a spoofing scenario on the Elevation of Privilege SP4 card.</t>
  </si>
  <si>
    <t xml:space="preserve">https://github.com/OWASP/cornucopia/releases/tag/v3.5.4</t>
  </si>
  <si>
    <t xml:space="preserve">2026-09-19</t>
  </si>
  <si>
    <t xml:space="preserve">Interlynk is promoting a new commercial lynkctl embedded C/C++ SBOM generator (banner 'NEW Generate Embedded SBOM for C/C++' on its 19 Sep 2026 firmware-evaluation post): post-build analysis of GNU Make, CMake, IAR and TI Code Composer Studio outputs producing CycloneDX 1.6+ and SPDX 3.0+ with per-component evidence, confidence tiers and offline operation; exact launch date and pricing not stated.</t>
  </si>
  <si>
    <t xml:space="preserve">https://www.interlynk.io/resources/how-to-evaluate-an-sbom-generator-for-embedded-firmware</t>
  </si>
  <si>
    <t xml:space="preserve">2026-09-18</t>
  </si>
  <si>
    <t xml:space="preserve">Snyk CLI v1.1307.3 released with policy-file handling fixes and dependency vulnerability resolutions (CVE-2026-63376, CVE-2026-77465).</t>
  </si>
  <si>
    <t xml:space="preserve">npm granular access tokens gain a 'Read and write (stage only)' permission so CI automation can stage package versions for maintainer review without direct publish rights, reducing token-theft blast radius in the registry supply chain.</t>
  </si>
  <si>
    <t xml:space="preserve">https://github.blog/changelog/2026-09-18-stage-only-npm-tokens-for-safer-automation</t>
  </si>
  <si>
    <t xml:space="preserve">Snyk Evo MCP Server is now available: any MCP client (Claude, Codex, Cursor and others) can connect to Evo, Snyk's AI security platform, to query AI assets and their connections, read policies, and create or update policies from inside the agent the developer already uses (vendor claim, Snyk product updates page).</t>
  </si>
  <si>
    <t xml:space="preserve">https://updates.snyk.io/evo-mcp-server-now-available/</t>
  </si>
  <si>
    <t xml:space="preserve">GitHub-owned npm added a 'Read and write (stage only)' granular access token permission so CI can stage package versions via npm stage publish without direct publish rights, ahead of the January 2027 removal of bypass-2FA publish tokens.</t>
  </si>
  <si>
    <t xml:space="preserve">Kusari's Apache-2.0 open-source Waybill SBOM toolkit (github.com/kusari-oss/waybill; alpha, first public releases early Sep 2026) shipped v0.8.0 (17 Sep), v0.9.0 (18 Sep, per-resolve SBOMs for Pants monorepos, SLSA build provenance on all artifacts) and v0.10.0-alpha.1 (23 Sep); it emits CycloneDX 1.6, SPDX 2.3 and SPDX 3.0.1 with SHA-256 hashes and evidence across 15 ecosystem readers plus ELF/Mach-O/PE binaries, DSSE/Sigstore attestations, in-toto verification and eBPF build tracing, and targets the CISA 2026 minimum elements.</t>
  </si>
  <si>
    <t xml:space="preserve">https://github.com/kusari-oss/waybill/releases</t>
  </si>
  <si>
    <t xml:space="preserve">agent-bom v0.105.0 adds bounded read-only credential validators for GitHub and Stripe (valid/invalid/unknown verdicts), OAuth configuration for Apache Polaris and Iceberg REST catalogs, refined MCP resource documentation and PyPI packaging alignment.</t>
  </si>
  <si>
    <t xml:space="preserve">Snyk CLI v1.1307.3 maintenance release fixes policy-file handling and patches CVE-2026-63376 and CVE-2026-77465 in the CLI.</t>
  </si>
  <si>
    <t xml:space="preserve">https://updates.snyk.io/announcing-snyk-cli-v1-1307-3/</t>
  </si>
  <si>
    <t xml:space="preserve">2026-09-17</t>
  </si>
  <si>
    <t xml:space="preserve">Checkmarx introduced the Triage &amp; Remediation Assist agent in Checkmarx One: Triage Assist scores reachability/exploitability, Remediation Assist generates fixes and can open GitHub pull requests, triage decisions auto-propagate to identical findings in later scans, and usage is metered in Checkmarx Credits (vendor claims up to 95% faster MTTR).</t>
  </si>
  <si>
    <t xml:space="preserve">https://checkmarx.com/inside-checkmarx-triage-remediation-assist/</t>
  </si>
  <si>
    <t xml:space="preserve">GitLab 19.4 (Ultimate): Advanced SAST adds Kotlin, Dart and Scala with framework-aware taint analysis; Vulnerability Context Flow generates AI triage context (auth, authz, sensitive data); vulnerability tools added to the GitLab MCP server; group-level Automated Triage and Remediation profiles (Conservative/Standard/Proactive) coordinate SAST FP detection and Duo remediation.</t>
  </si>
  <si>
    <t xml:space="preserve">https://docs.gitlab.com/releases/19/gitlab-19-4-released/</t>
  </si>
  <si>
    <t xml:space="preserve">Corgea changelog: Agent promoted to top-level navigation, daily admin digest of agent learning recommendations, Advanced Vulnerability Search extended to SCA/container/IaC findings, PR creation restored for CLI and IDE scans.</t>
  </si>
  <si>
    <t xml:space="preserve">https://corgea.com/blog/changelog-september-17-2026</t>
  </si>
  <si>
    <t xml:space="preserve">GitLab 19.4 adds malicious package detection (Beta) that checks dependencies against GitLab malware advisories for npm, PyPI, Maven, Go, NuGet, Cargo and RubyGems with Critical-severity Malware badges, SPDX compound license expression support (AND/OR/WITH) in dependency scanning and license approval policies, Vulnerability Context Flow triage context, a bulk vulnerability due-date GraphQL API, and vulnerability read/write tools in the GitLab MCP server.</t>
  </si>
  <si>
    <t xml:space="preserve">GitLab 19.4 changes credit consumption order (included credits consume before evaluation credits), adds per-event credit usage exports and configurable credit caps, and adds 50%/80% early warnings on Flex spend caps.</t>
  </si>
  <si>
    <t xml:space="preserve">Aikido achieved AWS Security Competency for Application Security, with the platform integrated with EC2, ECR and Lambda and procurable via AWS Marketplace.</t>
  </si>
  <si>
    <t xml:space="preserve">https://www.globenewswire.com/news-release/2026/09/17/3363903/0/en/aikido-achieves-aws-security-competency-for-application-security.html</t>
  </si>
  <si>
    <t xml:space="preserve">Grype v0.119.0 exposes distro-fixed dropped matches via ignoredMatches for --show-suppressed, makes CVE-aggregated advisory merge order deterministic and patches six dependency vulnerabilities; Syft v1.52.0 (same day) adds passthrough-exact-format for syft-json input and hardens .deb, kernel-module and .NET PE/ELF parsing.</t>
  </si>
  <si>
    <t xml:space="preserve">GitLab 19.4 extends automatic response so leaked routable and routable-versioned GitLab personal access tokens are auto-revoked (Ultimate), and adds governance modes (Always Allow / Always Ask) plus beta access restrictions for GitLab MCP Server tools.</t>
  </si>
  <si>
    <t xml:space="preserve">Syft v1.52.0 adds passthrough of matching syft-json input unchanged (exact-format passthrough), bounds allocations for compressed kernel modules, .deb archives and UPX-packed binaries, hardens malformed .NET binary parsing, fixes RPM and Java archive version reporting, and remediates six dependency CVEs (gRPC, containerd, x/crypto).</t>
  </si>
  <si>
    <t xml:space="preserve">https://github.com/anchore/syft/releases</t>
  </si>
  <si>
    <t xml:space="preserve">Grype v0.119.0 exposes distro-fixed dropped matches through ignoredMatches so --show-suppressed surfaces them, adds a licensing copyright-owner field for Debian packaging, fixes OpenVEX transformer namespace handling for Go module PURLs and inconsistent advisory merging under --by-cve, and remediates six dependency CVEs.</t>
  </si>
  <si>
    <t xml:space="preserve">https://github.com/anchore/grype/releases/tag/v0.119.0</t>
  </si>
  <si>
    <t xml:space="preserve">GitLab 19.4 adds malicious package detection to dependency scanning (Beta, Ultimate) using GitLab malware advisories across seven ecosystems, SPDX license expressions in dependency and license scanning (GA), and vulnerability tools on the GitLab MCP server plus automated triage and remediation profiles (GA, Ultimate).</t>
  </si>
  <si>
    <t xml:space="preserve">GitLab 19.4 (Ultimate) adds vulnerability tools to the GitLab MCP Server so agents can list and manage findings, automated triage and remediation profiles applied across groups via GraphQL, a bulk vulnerability due-date API, group-level aggregated scanner coverage, Vulnerability Context Flow triage context, and beta organization security dashboards and malicious package detection.</t>
  </si>
  <si>
    <t xml:space="preserve">GitLab 19.4: Advanced SAST adds Kotlin, Dart and Scala; Vulnerability Context Flow, due-date API and Security Inventory coverage view (Ultimate); malicious package detection in Dependency Scanning (beta); auto-revocation of all GitLab PAT formats; Duo gains /goal CLI command and GitLab MCP server tools for CI/CD, MRs and vulnerability triage (public beta), tool-level governance for MCP servers, per-user credit caps, and GitLab-hosted open-weight models (Kimi K3, MiniMax M3, GLM 5.3) at up to 4x more calls per credit.</t>
  </si>
  <si>
    <t xml:space="preserve">Aikido achieved AWS Security Competency in the Application Security category, adding to AWS Marketplace availability and EC2/ECR/Lambda/CloudFormation integrations; vendor now claims 150,000+ organisations.</t>
  </si>
  <si>
    <t xml:space="preserve">Corgea Agent gets its own top-level navigation for querying findings across GitHub, GitLab, Azure DevOps and Bitbucket; admins get a daily digest of agent learning recommendations; Advanced Vulnerability Search shows inline SCA, container and IaC details.</t>
  </si>
  <si>
    <t xml:space="preserve">2026-09-16</t>
  </si>
  <si>
    <t xml:space="preserve">Code scanning AI Scan (AI-based vulnerability detection on pull requests, public preview) no longer requires CodeQL default setup on the repository; GHAS customers on github.com only, not GHES.</t>
  </si>
  <si>
    <t xml:space="preserve">https://github.blog/changelog/2026-09-16-code-scanning-ai-scan-no-longer-requires-codeql-default-setup</t>
  </si>
  <si>
    <t xml:space="preserve">Greptile redesigned its review summaries: a confidence score and verdict at the top, a findings list ordered by severity with P1 badges for security issues and direct links to comments, unresolved findings persisting across reviews, a 'What we checked' section for clean reviews, and a consolidated 'Fix All' button for agent actions (vendor changelog).</t>
  </si>
  <si>
    <t xml:space="preserve">https://www.greptile.com/changelog</t>
  </si>
  <si>
    <t xml:space="preserve">Snyk added custom CA certificate support so organisations can upload internal Certificate Authority certificates and scans trust internal endpoints the same as public ones.</t>
  </si>
  <si>
    <t xml:space="preserve">Socket announced it will enforce a 1-year retention (TTL) on alert and event data for all users starting November 2026, recommending data exports or the historical alerts and events APIs to keep older data.</t>
  </si>
  <si>
    <t xml:space="preserve">https://socket.dev/changelog/alert-event-data-older-than-1-year-will-age-out-starting-november-2026</t>
  </si>
  <si>
    <t xml:space="preserve">2ms v5.4.0 fixes line content for repeated secrets and 10K-byte lines, corrects allow-list construction and removes the suffix from end-column reporting.</t>
  </si>
  <si>
    <t xml:space="preserve">https://github.com/Checkmarx/2ms/releases</t>
  </si>
  <si>
    <t xml:space="preserve">Veracode Static Analysis integrates with DryRun Security, pairing Veracode deterministic SAST with DryRun's contextual AI analysis.</t>
  </si>
  <si>
    <t xml:space="preserve">Xray maintenance releases 3.154.4 (2026-09-14) and 3.154.8 (2026-09-16): Curation support extended to Debian and Ubuntu packages with repeated archive path prefixes, improved NuGet metadata request handling and input validation, and fewer unused RabbitMQ transient queues declared by Xray services. No SBOM, VEX or AI feature changes in these builds.</t>
  </si>
  <si>
    <t xml:space="preserve">Devici 2.30.0 adds User-role-scoped API tokens for MCP/API access, bulk attribute assignment, admin-issued personal tokens and a /sync-devici-threat-model workflow prompt that keeps threat models in sync with SD Elements via both platforms' MCP servers.</t>
  </si>
  <si>
    <t xml:space="preserve">https://docs.devici.com/latest/release-notes/</t>
  </si>
  <si>
    <t xml:space="preserve">ThreatModeler Nexus achieved FedRAMP Moderate Authorization through a partnership with Knox Systems, letting US federal agencies run the threat modelling and security requirements platform in environments handling controlled unclassified information.</t>
  </si>
  <si>
    <t xml:space="preserve">https://www.prnewswire.com/news-releases/threatmodeler-achieves-fedramp-moderate-authorization-through-partnership-with-knox-systems-302880133.html</t>
  </si>
  <si>
    <t xml:space="preserve">Snyk DAST adds custom CA certificate support so organisations can upload an internal certificate authority and scan internally signed targets.</t>
  </si>
  <si>
    <t xml:space="preserve">https://updates.snyk.io/custom-ca-certificate-support/</t>
  </si>
  <si>
    <t xml:space="preserve">Integration updates: GitHub Workflow Integration v2.1.7 adds a policy parameter for IaC scans; Veracode Integration for Jira Server v5.0.2 adds Jira 11 and Java 21 support (Veracode Fix for SCA in the GitHub workflow remains Limited Availability from Sept 8).</t>
  </si>
  <si>
    <t xml:space="preserve">OX Cloud is generally available: CNAPP coverage (CSPM, KSPM, DSPM, cloud graph and attack paths, runtime vulnerabilities) plus AI Detection and Response (AIDR) and Agentic Attack Surface Management for AI agents, models and MCP servers, with reachability-based filtering; pricing not disclosed.</t>
  </si>
  <si>
    <t xml:space="preserve">2026-09-15</t>
  </si>
  <si>
    <t xml:space="preserve">Enterprise admins can now enforce GitHub Advanced Security configurations so organisation and repository owners cannot override enterprise-level security settings (new three-level enforcement dropdown).</t>
  </si>
  <si>
    <t xml:space="preserve">https://github.blog/changelog/2026-09-15-enforce-github-advanced-security-configurations</t>
  </si>
  <si>
    <t xml:space="preserve">CodeRabbit Triage: cross-repository pull request queue ranking work P0-P3 by severity, linked-issue priority and blocked dependencies with evidence-based explanations (general code review feature, not security-specific).</t>
  </si>
  <si>
    <t xml:space="preserve">https://docs.coderabbit.ai/changelog</t>
  </si>
  <si>
    <t xml:space="preserve">Chainguard announced the Sovereign Artifacts beta, letting organisations store and pull container and library artifacts within EU jurisdiction for data-residency requirements.</t>
  </si>
  <si>
    <t xml:space="preserve">https://www.chainguard.dev/unchained/announcing-the-sovereign-artifacts-beta</t>
  </si>
  <si>
    <t xml:space="preserve">SecureFlag introduced the SecureFlag MCP Server, letting MCP clients such as Claude Code and Codex generate shareable ThreatCanvas threat models for a user story and pull contextual training labs from inside the coding workflow.</t>
  </si>
  <si>
    <t xml:space="preserve">https://blog.secureflag.com/2026/09/15/secureflag-mcp-server/</t>
  </si>
  <si>
    <t xml:space="preserve">Precogly v0.4.0 released with LLM-based threat suggestor on per-tenant bring-your-own-model infrastructure, taxonomy packs (CAPEC, CWE, MITRE ATT&amp;CK, MITRE ATLAS), CycloneDX 2.0 TM-BOM import/export, risk register with kanban view, OAuth 2.1 authorization server and a 41-component AWS library pack.</t>
  </si>
  <si>
    <t xml:space="preserve">https://github.com/precogly/precogly/blob/main/CHANGELOG.md</t>
  </si>
  <si>
    <t xml:space="preserve">2026-09-14</t>
  </si>
  <si>
    <t xml:space="preserve">Snyk Code September 2026 release (documented via the snyk/user-docs PR for the 14 Sep 2026 release): Java SE 25 support and eight new Java frameworks (incl. Apache Commons Collections, Flyway, MSAL4J), LangChain LiteLLM modelled as an untrusted source for Python, expanded Kotlin framework list, new rules (HSTS Disabled for Ruby and Java, CRLF Sequences and UI Layers/Frames for Python, XPath Injection for Rust), corrected COBOL CWE mappings, and a behaviour change so that .gitignore rules now exclude only untracked files, meaning committed files are analysed.</t>
  </si>
  <si>
    <t xml:space="preserve">https://github.com/snyk/user-docs/pull/1664</t>
  </si>
  <si>
    <t xml:space="preserve">Week of 14 Sep 2026 release notes: Semgrep Guardian now reports setup, scan summary and sign-in status inside AI coding agents; Agentic Workflows issues exportable as CSV via UI and API; AI-Powered Detection scheduled scans now honour configured branches.</t>
  </si>
  <si>
    <t xml:space="preserve">https://docs.semgrep.dev/release-notes/2026-09-14</t>
  </si>
  <si>
    <t xml:space="preserve">Xray 3.154.4 extends JFrog Curation to Debian and Ubuntu packages with improved download URL handling and adds input validation hardening; 3.154.8 (16 Sept) reduces unused RabbitMQ transient queues.</t>
  </si>
  <si>
    <t xml:space="preserve">Week of 14 Sept release improves Supply Chain scan-configuration request performance, adds Semgrep Guardian status reporting for AI coding agents (setup status plus scan summary), CSV export for Multimodal workflow issues, and corrects Autofix messaging for AWS Bedrock provider availability.</t>
  </si>
  <si>
    <t xml:space="preserve">OSV-Scanner v2.6.0 adds a multi-arch (linux/arm64) osv-scanner-action image, gRPC retry with exponential backoff, Git repository URL extraction and local OSV tag matching for JavaScript lockfiles, experimental osv-scalibr plugins for more file types, and moves to Go 1.27.</t>
  </si>
  <si>
    <t xml:space="preserve">https://github.com/google/osv-scanner/releases/tag/v2.6.0</t>
  </si>
  <si>
    <t xml:space="preserve">Dependency-Track 4.14.4 maintenance release adds ingestion of CycloneDX 1.7 BOMs, modern CycloneDX tools metadata, improved Jira notification handling and fixes for vulnerability mirroring churn and foreign-key errors.</t>
  </si>
  <si>
    <t xml:space="preserve">Detection Engine 2.172 adds 10 detectors (Telnyx, Appwrite, Jira Data Center PAT, Bitbucket HTTP token, Brightcove, Infor ION, Bifrost, MetaApi, APIclub, generic Sanctum token), 8 new analyzers (AWS Cognito, Alibaba Cloud, Databricks, PyPI, Contentful, 3 DigitalOcean variants) and multilingual username-password keyword matching.</t>
  </si>
  <si>
    <t xml:space="preserve">https://docs.gitguardian.com/releases/detection-engine/2026/09/14/changelog</t>
  </si>
  <si>
    <t xml:space="preserve">Semgrep Guardian (real-time checks inside AI coding agents) now reports setup status, scan summary and sign-in/server errors to the agent; Agentic Workflow issues exportable as CSV and via API.</t>
  </si>
  <si>
    <t xml:space="preserve">Dependency-Track v4.14.4 (maintenance line) adds ingestion of CycloneDX 1.7 BOMs, switches BOM export to modern CycloneDX tools metadata, trims unnecessary enrichment on single-project queries, and fixes Jira notification tests, missing User-Agent headers and an HTTP 500 when deleting vulnerabilities referenced by analyses.</t>
  </si>
  <si>
    <t xml:space="preserve">ThreatModeler Nexus received FedRAMP Moderate authorization (sponsored by Knox), making the agentic threat modeling platform available to US federal agencies for CUI and moderate-impact systems.</t>
  </si>
  <si>
    <t xml:space="preserve">https://www.threatmodeler.ai/resources/blog/threatmodeler-achieves-fedramp-moderate-authorization</t>
  </si>
  <si>
    <t xml:space="preserve">Week of Sept 14 release notes: Semgrep Guardian now reports setup, scan summaries and errors inside AI coding agents; Agentic Workflows gain CSV export of issues via UI and public API; fixes for AI-powered detection scheduled scans, Autofix Bedrock error messaging and Network Broker branch names.</t>
  </si>
  <si>
    <t xml:space="preserve">DefectDojo Pro v3.3.100 adds Dedupe Pools for grouped asset matching, a Palo Alto Cortex connector family (XDR, XSIAM, XSOAR, Cloud), keyless/delegated cloud auth for Prowler and Sensei CSPM, and shared dashboard layouts.</t>
  </si>
  <si>
    <t xml:space="preserve">2026-09-07</t>
  </si>
  <si>
    <t xml:space="preserve">AI-agent hooks for Claude Code, Cursor, Copilot CLI, Codex, Mistral Vibe plus agent/MCP inventory</t>
  </si>
  <si>
    <t xml:space="preserve">2026-09-02</t>
  </si>
  <si>
    <t xml:space="preserve">JFrog Agent Guard GA</t>
  </si>
  <si>
    <t xml:space="preserve">https://jfrog.com/blog/</t>
  </si>
  <si>
    <t xml:space="preserve">2026-08-04</t>
  </si>
  <si>
    <t xml:space="preserve">Snyk Secrets GA (contextual ML from BitPatrol acquisition)</t>
  </si>
  <si>
    <t xml:space="preserve">https://snyk.io/</t>
  </si>
  <si>
    <t xml:space="preserve">2026-07-01</t>
  </si>
  <si>
    <t xml:space="preserve">Checkmarx One Assist self-healing agent family</t>
  </si>
  <si>
    <t xml:space="preserve">https://checkmarx.com/</t>
  </si>
  <si>
    <t xml:space="preserve">2026-06-01</t>
  </si>
  <si>
    <t xml:space="preserve">snyk aibom generates CycloneDX 1.6 AI-BOM for Python, Java, JS, Go</t>
  </si>
  <si>
    <t xml:space="preserve">https://docs.snyk.io/</t>
  </si>
  <si>
    <t xml:space="preserve">OWASP projects and standards per category</t>
  </si>
  <si>
    <t xml:space="preserve">Current status, latest version and how the team should use each. Verified against owasp.org and project GitHub repositories where reachable.</t>
  </si>
  <si>
    <t xml:space="preserve">Project</t>
  </si>
  <si>
    <t xml:space="preserve">Status</t>
  </si>
  <si>
    <t xml:space="preserve">Latest version / date</t>
  </si>
  <si>
    <t xml:space="preserve">Link</t>
  </si>
  <si>
    <t xml:space="preserve">Details</t>
  </si>
  <si>
    <t xml:space="preserve">How the team should use it</t>
  </si>
  <si>
    <t xml:space="preserve">OWASP Benchmark</t>
  </si>
  <si>
    <t xml:space="preserve">Lab project</t>
  </si>
  <si>
    <t xml:space="preserve">v1.2beta (Final) Java, Oct 2016; live head of BenchmarkJava repo is the maintained version; BenchmarkPython added; BenchmarkUtils provides scorecard generators for CodeQL, Semgrep, SonarQube, SpotBugs/FindSecBugs, Snyk Code, Contrast CodeSec, Horusec and others</t>
  </si>
  <si>
    <t xml:space="preserve">https://owasp.org/www-project-benchmark/</t>
  </si>
  <si>
    <t xml:space="preserve">Run each candidate SAST against BenchmarkJava (and BenchmarkPython where supported), generate scorecards with BenchmarkUtils (Youden index = TPR minus FPR, per-CWE precision/recall). Use as a normalised but synthetic baseline; supplement with client-representative code because vendors tune to Benchmark.</t>
  </si>
  <si>
    <t xml:space="preserve">OWASP Source Code Analysis Tools (community page)</t>
  </si>
  <si>
    <t xml:space="preserve">Community reference page (not a project level)</t>
  </si>
  <si>
    <t xml:space="preserve">Continuously edited wiki page; lists ~100 OSS and commercial SAST tools with language matrix; OWASP does not endorse vendors</t>
  </si>
  <si>
    <t xml:space="preserve">https://owasp.org/www-community/Source_Code_Analysis_Tools</t>
  </si>
  <si>
    <t xml:space="preserve">Use as a long-list discovery source and to check language coverage claims; do not treat inclusion as a quality signal.</t>
  </si>
  <si>
    <t xml:space="preserve">OWASP ASST (Automated Software Security Toolkit)</t>
  </si>
  <si>
    <t xml:space="preserve">Incubator-level, beta, low activity (30 commits on main; no dated 2025-2026 release found)</t>
  </si>
  <si>
    <t xml:space="preserve">Beta; Node.js CLI scanning PHP/MySQL against OWASP Top 10</t>
  </si>
  <si>
    <t xml:space="preserve">https://github.com/OWASP/ASST</t>
  </si>
  <si>
    <t xml:space="preserve">Not recommended for enterprise delivery; note only for PHP legacy assessments or as an OWASP catalogue entry.</t>
  </si>
  <si>
    <t xml:space="preserve">OWASP Find Security Bugs</t>
  </si>
  <si>
    <t xml:space="preserve">OWASP project (tool); active, 1.14.0 released Apr 2025</t>
  </si>
  <si>
    <t xml:space="preserve">1.14.0, 2025-04-20</t>
  </si>
  <si>
    <t xml:space="preserve">Free JVM security scan in Maven/Gradle builds; baseline comparator for commercial SAST on Java.</t>
  </si>
  <si>
    <t xml:space="preserve">OWASP DevSecOps Guideline / OWASP SAMM / OWASP ASVS</t>
  </si>
  <si>
    <t xml:space="preserve">SAMM and ASVS are Flagship; DevSecOps Guideline is Lab/Production (status varies)</t>
  </si>
  <si>
    <t xml:space="preserve">ASVS 5.0 (2025); SAMM 2.x</t>
  </si>
  <si>
    <t xml:space="preserve">https://owasp.org/www-project-application-security-verification-standard/</t>
  </si>
  <si>
    <t xml:space="preserve">Use ASVS as the requirement baseline that SAST rulesets should map to (V5 input validation, V6 crypto, etc.) and SAMM Verification stream to assess client SAST maturity.</t>
  </si>
  <si>
    <t xml:space="preserve">OWASP Top 10 for LLM Applications / GenAI Security Project</t>
  </si>
  <si>
    <t xml:space="preserve">Flagship (GenAI Security Project)</t>
  </si>
  <si>
    <t xml:space="preserve">LLM Top 10 2025 edition</t>
  </si>
  <si>
    <t xml:space="preserve">Checklist for evaluating whether a SAST tool detects prompt-injection sinks and insecure LLM output handling; Forrester notes most SAST vendors have this on roadmap only.</t>
  </si>
  <si>
    <t xml:space="preserve">Category summary</t>
  </si>
  <si>
    <t xml:space="preserve">Current owasp sast project status summary: OWASP has no flagship SAST engine. The relevant assets are the Benchmark (Lab, effectively the de facto public scoring harness, but Java-centric and dated), the Source Code Analysis Tools list (reference only), Find Security Bugs (active OSS tool), and ASST (dormant beta). Teams should use Benchmark plus ASVS mapping for scoring and treat the tools list as a long-list only.
Last verified: 2026-09-26</t>
  </si>
  <si>
    <t xml:space="preserve">Dependency Check</t>
  </si>
  <si>
    <t xml:space="preserve">Active OWASP Flagship-adjacent project; maintained by volunteers with constrained capacity</t>
  </si>
  <si>
    <t xml:space="preserve">12.2.2 (May 2026)</t>
  </si>
  <si>
    <t xml:space="preserve">Nvd api key issue: NVD 2.0 API is the only feed. Without an NVD API key v12.2.x hits HTTP 429 rate limits, retries 30+ times and can corrupt the H2 database (GitHub issue #8298). Treat the key as mandatory; cache the DB centrally (shared volume or internal mirror) and update once per day rather than per build.</t>
  </si>
  <si>
    <t xml:space="preserve">Keep only as a free baseline in Java/Maven CI where no commercial SCA exists; do not position as primary SCA in client proposals. Prefer OSV-Scanner or Trivy for new pipelines and feed results into Dependency-Track.</t>
  </si>
  <si>
    <t xml:space="preserve">Dependency Track</t>
  </si>
  <si>
    <t xml:space="preserve">OWASP Flagship project, actively developed</t>
  </si>
  <si>
    <t xml:space="preserve">5.0 GA (9 June 2026); 4.13.x remains on LTS-style maintenance</t>
  </si>
  <si>
    <t xml:space="preserve">Features: Continuous SBOM analysis (NVD, OSV, GitHub Advisories, Snyk, Trivy, EPSS), CEL expression policies, component hash integrity checks against typosquatting, horizontal scaling on PostgreSQL, durable execution engine, VEX/VDR, portfolio dashboards, notifications; v5 needs offline migration from v4</t>
  </si>
  <si>
    <t xml:space="preserve">Standard SBOM operations platform for client engagements with CRA, EO 14028 or NIS2 obligations. Ingest CycloneDX from Syft/Trivy/commercial SCA, apply policies, produce VEX. Plan v4 to v5 migration windows for existing deployments.</t>
  </si>
  <si>
    <t xml:space="preserve">Cyclonedx</t>
  </si>
  <si>
    <t xml:space="preserve">Relationship: OWASP CycloneDX is the ECMA-424 standardised BOM format (SBOM, SaaSBOM, HBOM, ML-BOM/AI-BOM, CBOM, VEX, VDR). Dependency-Track consumes CycloneDX natively; Snyk aibom, Trivy, Syft, GitLab and most commercial SCA export CycloneDX 1.6.</t>
  </si>
  <si>
    <t xml:space="preserve">Mandate CycloneDX 1.6 as the exchange format in delivery standards; require AI-BOM (ML-BOM) sections for client applications embedding models or LLM SDKs.</t>
  </si>
  <si>
    <t xml:space="preserve">OWASP Software Component Verification Standard (SCVS) v1.0</t>
  </si>
  <si>
    <t xml:space="preserve">Summary: Six control families (Inventory, SBOM, Build Environment, Package Management, Component Analysis, Pedigree and Provenance) at three levels; complements SLSA and SSDF.</t>
  </si>
  <si>
    <t xml:space="preserve">Use SCVS as the maturity yardstick in AppSec assessments and RFP responses; map tool capabilities (reachability, provenance, SBOM lifecycle) to SCVS levels to justify tooling choices.</t>
  </si>
  <si>
    <t xml:space="preserve">OWASP Top 10:2025 A03 Software Supply Chain Failures (final release)</t>
  </si>
  <si>
    <t xml:space="preserve">Summary: Expands the former A06:2021 Vulnerable and Outdated Components / 2013 A9 into build, distribution and update-process compromises. Mapped CWEs: 447, 1035, 1104, 1329, 1357, 1395. Guidance: SBOMs, continuous inventory, trusted sources, staged rollouts, CI/CD change tracking, hardened build systems, patch management.</t>
  </si>
  <si>
    <t xml:space="preserve">Re-baseline client AppSec programmes against A03: SCA alone is insufficient; add ingestion-time blocking (Firewall/Curation), provenance (SLSA, Sigstore), pipeline hardening and SBOM lifecycle. Use A03 language in executive briefings to justify supply chain budget.</t>
  </si>
  <si>
    <t xml:space="preserve">Secrets Management Cheat Sheet</t>
  </si>
  <si>
    <t xml:space="preserve">Active, continuously maintained (no version number; last-update date not shown on page)</t>
  </si>
  <si>
    <t xml:space="preserve">Living document</t>
  </si>
  <si>
    <t xml:space="preserve">https://cheatsheetseries.owasp.org/cheatsheets/Secrets_Management_Cheat_Sheet.html</t>
  </si>
  <si>
    <t xml:space="preserve">Key content: Shift-left detection (recommends multiple scanners incl. Yelp detect-secrets), CI/CD hardening, three secret-placement patterns, automated and dynamic rotation, dynamic secrets, no AI/LLM guidance</t>
  </si>
  <si>
    <t xml:space="preserve">Baseline control checklist for client secrets-hygiene assessments; map each tool's capabilities (detection, rotation, CI/CD placement) to cheat-sheet sections; supplement with AI-agent guidance since the sheet is silent on LLM/MCP</t>
  </si>
  <si>
    <t xml:space="preserve">Nhi Top 10 2025</t>
  </si>
  <si>
    <t xml:space="preserve">Incubator project</t>
  </si>
  <si>
    <t xml:space="preserve">2025 (NHI1-NHI10)</t>
  </si>
  <si>
    <t xml:space="preserve">https://owasp.org/www-project-non-human-identities-top-10/</t>
  </si>
  <si>
    <t xml:space="preserve">Key content: NHI1 Improper Offboarding, NHI2 Secret Leakage, NHI3 Vulnerable Third-Party NHI, NHI4 Insecure Authentication, NHI5 Overprivileged NHI, NHI6 Insecure Cloud Deployment Configurations, NHI7 Long-Lived Secrets, NHI8 Environment Isolation, NHI9 NHI Reuse, NHI10 Human Use of NHI</t>
  </si>
  <si>
    <t xml:space="preserve">Use as the scoring rubric for NHI maturity in RFPs; GitGuardian ships OWASP NHI policies natively; NHI2 and NHI7 map directly to secrets scanning KPIs (leak rate, secret age, validity)</t>
  </si>
  <si>
    <t xml:space="preserve">Llm Top 10 2025</t>
  </si>
  <si>
    <t xml:space="preserve">Active (GenAI Security Project, Flagship)</t>
  </si>
  <si>
    <t xml:space="preserve">2025 edition; no 2026 revision published as of Sept 2026</t>
  </si>
  <si>
    <t xml:space="preserve">Key content: LLM02:2025 Sensitive Information Disclosure covers secrets and PII leaking into prompts, context, training and outputs; LLM06:2025 Excessive Agency covers over-permissioned agent tokens and tool access; LLM07 System Prompt Leakage also relevant when credentials are embedded in system prompts</t>
  </si>
  <si>
    <t xml:space="preserve">Require prompt-side secret DLP (Nightfall, GitGuardian AI hooks) for LLM02 and scoped, short-lived agent credentials plus MCP inventory for LLM06; include in AI-security threat models</t>
  </si>
  <si>
    <t xml:space="preserve">Asvs 5</t>
  </si>
  <si>
    <t xml:space="preserve">Stable</t>
  </si>
  <si>
    <t xml:space="preserve">5.0.0 (initial 5.x release, 30 May 2025 per project; the GitHub release page rendered the year as 2026 in this sweep - verify)</t>
  </si>
  <si>
    <t xml:space="preserve">https://github.com/OWASP/ASVS/releases</t>
  </si>
  <si>
    <t xml:space="preserve">Key content: Secrets requirements sit in V14 Configuration, secret management section (secrets held in a vault/secrets manager, least-privilege access, environment-unique secrets, rotation, no secrets in source or build artefacts) plus V11 Cryptography key management; exact requirement numbers should be checked against the 5.0.0 text (fetch of chapter file failed in this sweep)</t>
  </si>
  <si>
    <t xml:space="preserve">Cite ASVS V14 secret-management requirements as acceptance criteria for remediation; use scanner findings as evidence of non-conformance in ASVS-based assessments</t>
  </si>
  <si>
    <t xml:space="preserve">Devsecops Guideline</t>
  </si>
  <si>
    <t xml:space="preserve">Active community project (GitHub OWASP/DevSecOpsGuideline)</t>
  </si>
  <si>
    <t xml:space="preserve">'latest' rolling</t>
  </si>
  <si>
    <t xml:space="preserve">https://owasp.org/www-project-devsecops-guideline/</t>
  </si>
  <si>
    <t xml:space="preserve">Key content: Pipeline stage 'Secret Management / credential leakage scanning' recommends scanning repos for leaked credentials as the first pipeline control and lists OSS tools (historically TruffleHog, Gitleaks, detect-secrets, git-secrets); section fetch failed, verify tool list</t>
  </si>
  <si>
    <t xml:space="preserve">Reference architecture for placing pre-commit, CI and post-merge scanning stages in client DevSecOps designs</t>
  </si>
  <si>
    <t xml:space="preserve">Owasp Tool Projects</t>
  </si>
  <si>
    <t xml:space="preserve">No dedicated OWASP flagship secrets-detection tool project; OWASP Dependency-Check/ZAP are unrelated. Community references point to third-party OSS (TruffleHog, Gitleaks/Betterleaks, detect-secrets). OWASP Agentic Security Initiative (ASI) Top 10 for Agentic Applications (2025-2026 drafts) is the emerging companion for agent credential risks</t>
  </si>
  <si>
    <t xml:space="preserve">Do not expect an OWASP-branded scanner; standardise on Betterleaks or TruffleHog OSS for open-source baselines</t>
  </si>
  <si>
    <t xml:space="preserve">OWASP CycloneDX</t>
  </si>
  <si>
    <t xml:space="preserve">Flagship project; Ecma International standard ECMA-424</t>
  </si>
  <si>
    <t xml:space="preserve">CycloneDX v1.7 (released 21 Oct 2025); ECMA-424 2nd edition (Dec 2025) specifies v1.7; v1.6 was ECMA-424 1st edition (Jun 2024)</t>
  </si>
  <si>
    <t xml:space="preserve">https://cyclonedx.org/</t>
  </si>
  <si>
    <t xml:space="preserve">Bom types: SBOM, SaaSBOM, HBOM, ML-BOM/AI-BOM, CBOM, MBOM, OBOM, VDR, VEX, CDXA attestations; JSON, XML, protobuf
Ml bom ai bom: ML-BOM since 1.5 (machine-learning-model and data component types, modelCard with modelParameters, quantitativeAnalysis, considerations; dataset provenance). 1.6 added CBOM and attestations; 1.7 added citations for data provenance, patents/IP, standardised crypto algorithm families and elliptic curves. No ratified agent/MCP BOM schema yet: proposal issue #895 (Mar 2026) closed as duplicate of ongoing work; track CycloneDX 2.0 roadmap (cdxgen already targets 2.0 drafts).</t>
  </si>
  <si>
    <t xml:space="preserve">Adopt CycloneDX 1.6 as the baseline exchange format now (widest tool support), enable 1.7 output where Dependency-Track 4.14.4/5.x ingests it, and use ML-BOM component types for AI inventories so one toolchain covers SBOM, AIBOM and CBOM. Reference ECMA-424 in client contracts and RFPs.</t>
  </si>
  <si>
    <t xml:space="preserve">Flagship project</t>
  </si>
  <si>
    <t xml:space="preserve">v5.1.1 (20 Sep 2026); v4.14.4 maintenance line (14 Sep 2026) adds CycloneDX 1.7 ingestion</t>
  </si>
  <si>
    <t xml:space="preserve">Features: CycloneDX SBOM/VEX ingestion, continuous vulnerability analysis (NVD, OSV, GitHub, OSS Index, Snyk, Trivy, Checkmarx SCA, JVN), KEV and EPSS, CVSSv4, distro-aware matching, policy engine, notifications, REST API</t>
  </si>
  <si>
    <t xml:space="preserve">Default OSS SBOM management platform for internal engagements and client pilots; pair with cdxgen or Syft. Plan v4 to v5 migration (Kafka) for scale.</t>
  </si>
  <si>
    <t xml:space="preserve">OWASP Software Component Verification Standard (SCVS)</t>
  </si>
  <si>
    <t xml:space="preserve">Active (Lab/Standards)</t>
  </si>
  <si>
    <t xml:space="preserve">v1.0 (25 Jun 2020); no major revision since; BOM Maturity Model published as companion (2023)</t>
  </si>
  <si>
    <t xml:space="preserve">https://scvs.owasp.org/</t>
  </si>
  <si>
    <t xml:space="preserve">Use SCVS control families (inventory, SBOM, build, package management, pedigree/provenance) as an assessment checklist for client supply chain maturity; supplement with CISA 2026 minimum elements and BSI TR-03183-2 since SCVS predates them.</t>
  </si>
  <si>
    <t xml:space="preserve">Active flagship-level guidance (300+ pages), feeding ISO/IEC 27090, CEN/CENELEC and EU AI Act standards work</t>
  </si>
  <si>
    <t xml:space="preserve">Continuously updated; 2026 edition live</t>
  </si>
  <si>
    <t xml:space="preserve">Use development-time and supply chain controls (SUPPLYCHAINMANAGE, model/data provenance) as the control vocabulary in AI security assessments; map AIBOM outputs to those controls.</t>
  </si>
  <si>
    <t xml:space="preserve">OWASP Top 10 for LLM Applications 2025, LLM03 Supply Chain</t>
  </si>
  <si>
    <t xml:space="preserve">Published 17 Nov 2024; a 2026 edition was announced by the OWASP GenAI Security Project in Sep 2026 (content not verified here)</t>
  </si>
  <si>
    <t xml:space="preserve">https://genai.owasp.org/llmrisk/llm032025-supply-chain/</t>
  </si>
  <si>
    <t xml:space="preserve">Key points: LLM03 lists nine risk areas (vulnerable pre-trained models, weak provenance, LoRA adapters, licensing, on-device threats) and prescribes signed SBOMs and AI BOMs using CycloneDX, model hash/signature verification, licence audits and red teaming.</t>
  </si>
  <si>
    <t xml:space="preserve">Cite LLM03 as the client-facing justification for AIBOM and model scanning controls; re-baseline once the 2026 list is confirmed.</t>
  </si>
  <si>
    <t xml:space="preserve">OWASP GenAI Security Project, AI Bill of Materials (AIBOM) initiative</t>
  </si>
  <si>
    <t xml:space="preserve">Active initiative; AIBOM Generator tool moved under OWASP (2025-2026)</t>
  </si>
  <si>
    <t xml:space="preserve">AIBOM Generator emits CycloneDX 1.6 with completeness scoring; listed in CycloneDX Tool Center</t>
  </si>
  <si>
    <t xml:space="preserve">https://genai.owasp.org/initiatives/</t>
  </si>
  <si>
    <t xml:space="preserve">Use the generator to standardise third-party model intake records and to benchmark commercial AIBOM outputs for completeness.</t>
  </si>
  <si>
    <t xml:space="preserve">OWASP Agentic Security Initiative</t>
  </si>
  <si>
    <t xml:space="preserve">Active</t>
  </si>
  <si>
    <t xml:space="preserve">Top 10 for Agentic Applications 2026 (Dec 2025); Practical Guide for Secure MCP Server Development (Feb 2026); State of Agentic AI Security and Governance 2.01 (Jun 2026); Agent Control Standard (2026)</t>
  </si>
  <si>
    <t xml:space="preserve">Use the Agentic Top 10 and MCP guide as the control baseline for agent and MCP inventories (an 'agent BOM' scope definition) until CycloneDX ratifies an agent component model.</t>
  </si>
  <si>
    <t xml:space="preserve">OWASP Production (flagship) project; active but slow cadence</t>
  </si>
  <si>
    <t xml:space="preserve">v2.6.2 (2025-05-10); v2.6.0 (2025-03-30) added Cornucopia integration and templates</t>
  </si>
  <si>
    <t xml:space="preserve">Roadmap: v3.0 'not well defined'; may adopt Threat Model Bill of Materials (TM-BOM) and align file formats with pytm and Threagile; no AI features announced</t>
  </si>
  <si>
    <t xml:space="preserve">Free default for teams without budget; store models in Git; pair with Cornucopia sessions; do not expect AI or enterprise governance</t>
  </si>
  <si>
    <t xml:space="preserve">PYTM</t>
  </si>
  <si>
    <t xml:space="preserve">Active OWASP project (589 commits, OpenSSF Best Practices badge); release cadence irregular</t>
  </si>
  <si>
    <t xml:space="preserve">Version not surfaced on repo page this session; threat rules now include LLM01-LLM09 and API01-API02; pytmGPT helper available</t>
  </si>
  <si>
    <t xml:space="preserve">Use for threat-model-as-code in CI for platform teams; use LLM rules as a lightweight check for LLM-integrated services</t>
  </si>
  <si>
    <t xml:space="preserve">Threat Modeling Project And Cheat Sheet</t>
  </si>
  <si>
    <t xml:space="preserve">OWASP Threat Modeling Project and Threat Modeling Cheat Sheet are maintained community guidance (four-question frame, STRIDE, tool listings)</t>
  </si>
  <si>
    <t xml:space="preserve">Living documents; cheat sheet last revised 2024-2025 (unverified this session)</t>
  </si>
  <si>
    <t xml:space="preserve">Adopt as the firm's method baseline and onboarding reading; cite in engagement methodology</t>
  </si>
  <si>
    <t xml:space="preserve">Threat Modeling Manifesto And Capabilities</t>
  </si>
  <si>
    <t xml:space="preserve">Threat Modeling Manifesto (2020) and Threat Modeling Capabilities (2023) published by the manifesto working group (Shostack, Tarandach, Romeo et al.)</t>
  </si>
  <si>
    <t xml:space="preserve">Capabilities v1 (2023); no update found in 2025-2026</t>
  </si>
  <si>
    <t xml:space="preserve">Use Capabilities as a maturity checklist when assessing client programmes and selecting tools</t>
  </si>
  <si>
    <t xml:space="preserve">Cornucopia</t>
  </si>
  <si>
    <t xml:space="preserve">OWASP Production project; significant growth 2023-2025</t>
  </si>
  <si>
    <t xml:space="preserve">Project page lists version 3.5 (fetched 2026-09-26); Website App and Mobile App editions maintained at cornucopia.owasp.org; Copi online game at copi.owasp.org; Mobile App edition version not confirmed this session</t>
  </si>
  <si>
    <t xml:space="preserve">Sprint-level threat elicitation with developers; feed results into Threat Dragon via 2.6 integration</t>
  </si>
  <si>
    <t xml:space="preserve">Elevation Of Privilege And Cumulus</t>
  </si>
  <si>
    <t xml:space="preserve">EoP: Shostack-created card game hosted under OWASP; Cumulus: OWASP Lab project (cloud/DevOps EoP variant), presented at German OWASP Day 2025-11-27</t>
  </si>
  <si>
    <t xml:space="preserve">Cumulus semantic-versioned decks; latest number not confirmed</t>
  </si>
  <si>
    <t xml:space="preserve">EoP for STRIDE workshops; Cumulus for cloud platform and pipeline teams</t>
  </si>
  <si>
    <t xml:space="preserve">Top 10 For Llm Applications</t>
  </si>
  <si>
    <t xml:space="preserve">OWASP GenAI Security Project flagship deliverable</t>
  </si>
  <si>
    <t xml:space="preserve">2025 edition (current in most tools); 2026 edition released 2026-09-01</t>
  </si>
  <si>
    <t xml:space="preserve">Mandatory checklist row in every LLM feature threat model; update libraries to the 2026 list</t>
  </si>
  <si>
    <t xml:space="preserve">Agentic Ai Threats And Mitigations</t>
  </si>
  <si>
    <t xml:space="preserve">Agentic Security Initiative (ASI) active; multiple 2026 publications</t>
  </si>
  <si>
    <t xml:space="preserve">Agentic AI Threats and Mitigations (Feb 2025); Top 10 for Agentic Applications 2026; Agent Control Standard (Sept 2026); State of Agentic AI Security and Governance 2.01 (June 2026); Secure MCP Server Development guide</t>
  </si>
  <si>
    <t xml:space="preserve">Primary threat catalogue for agents, tools and MCP servers; combine with MAESTRO decomposition</t>
  </si>
  <si>
    <t xml:space="preserve">Ai Exchange</t>
  </si>
  <si>
    <t xml:space="preserve">OWASP flagship think-tank; feeds ISO/IEC and EU AI Act standards</t>
  </si>
  <si>
    <t xml:space="preserve">Living document, 300+ pages, periodic table of AI threats and controls</t>
  </si>
  <si>
    <t xml:space="preserve">Source of controls and regulatory traceability once threats are identified</t>
  </si>
  <si>
    <t xml:space="preserve">Machine Learning Security Top 10</t>
  </si>
  <si>
    <t xml:space="preserve">Draft/incubator; list still labelled 2023 (ML01 Input Manipulation through ML10 Model Poisoning)</t>
  </si>
  <si>
    <t xml:space="preserve">2023 draft; no 2025-2026 release</t>
  </si>
  <si>
    <t xml:space="preserve">Use only for classical ML pipelines; prefer AI Exchange and ATLAS for current coverage</t>
  </si>
  <si>
    <t xml:space="preserve">Genai Security Project</t>
  </si>
  <si>
    <t xml:space="preserve">Umbrella project with eight initiatives, 30,000+ members (Sept 2026)</t>
  </si>
  <si>
    <t xml:space="preserve">2026 Top 10 for LLM, Agent Control Standard, Industry Framework Crosswalk, AI Security Solutions Landscape Q2 2026</t>
  </si>
  <si>
    <t xml:space="preserve">Track quarterly; map client controls with the Framework Crosswalk</t>
  </si>
  <si>
    <t xml:space="preserve">OWASP Precogly</t>
  </si>
  <si>
    <t xml:space="preserve">OWASP project (designation announced on the repository; project tier not verified on owasp.org)</t>
  </si>
  <si>
    <t xml:space="preserve">Website v0.4.0 (AI, MCP server, OAuth 2.1); GitHub Releases v0.2.0 (26 May 2026) at fetch time</t>
  </si>
  <si>
    <t xml:space="preserve">https://github.com/OWASP/Precogly</t>
  </si>
  <si>
    <t xml:space="preserve">Candidate replacement for Threat Dragon as the free system of record: DFD editor, library packs, compliance mapping, TM-BOM portability, BYO-LLM threat suggestion and MCP server. Pilot internally first; too young for client delivery.</t>
  </si>
  <si>
    <t xml:space="preserve">Asvs 5 0</t>
  </si>
  <si>
    <t xml:space="preserve">Released (Flagship)</t>
  </si>
  <si>
    <t xml:space="preserve">5.0.0, 30 May 2025 (Global AppSec EU Barcelona)</t>
  </si>
  <si>
    <t xml:space="preserve">Structure: 17 chapters, ~350 requirements; renumbered; new standalone chapters V3 Web Frontend Security, V9 Self-contained Tokens, V10 OAuth/OIDC; V5 split into V1/V2; crypto split into application (V11) and transport (V12)
Changes vs 4 0: Levels rebalanced: L1 ~20% of requirements (lighter, 'minimum'), L2 cumulative ~70%, L3 all; deduplicated and pruned untestable requirements; guidance moved out of requirement text; added post-quantum planning, AI/security-decision documentation; removed legacy items (32-bit salt, Unicode password rules); compliance re-evaluation required</t>
  </si>
  <si>
    <t xml:space="preserve">Adopt 5.0 IDs as the canonical requirement key in the client library; build a 4.0.3 to 5.0 crosswalk before migrating Jira requirement sets; use L2 as default target for internet-facing apps; load ASVS JSON into LLM/MCP grounding</t>
  </si>
  <si>
    <t xml:space="preserve">Masvs Mastg</t>
  </si>
  <si>
    <t xml:space="preserve">MASVS 2.1.0, 18 Jan 2024 (added MASVS-PRIVACY); MASTG v2 continuously published at mas.owasp.org</t>
  </si>
  <si>
    <t xml:space="preserve">Use MASVS controls as mobile requirement baseline, MASTG tests as verification mapping, MAS Checklist for traceability; profiles L1/L2/R/P</t>
  </si>
  <si>
    <t xml:space="preserve">Samm 2 1</t>
  </si>
  <si>
    <t xml:space="preserve">Core v2.1.0, 18 Sep 2024; core v2.2.0 published 6 Jul 2026 (change notes sparse); CRA guidance Feb 2026, Benchmark Report May 2025</t>
  </si>
  <si>
    <t xml:space="preserve">Assess the Security Requirements (SR) and Requirements-driven Testing practices; set maturity targets and roadmap; use Benchmark for peer comparison; SAMMY or SAMMwise for tooling</t>
  </si>
  <si>
    <t xml:space="preserve">DSOMM</t>
  </si>
  <si>
    <t xml:space="preserve">Active OWASP project</t>
  </si>
  <si>
    <t xml:space="preserve">App v4.6.0, 9 Jun 2026 (v4.0.0 Jan 2026)</t>
  </si>
  <si>
    <t xml:space="preserve">Track pipeline/DevSecOps activities with evidence; use SAMM/ISO 27001/ASVS mappings to link maturity to requirements verification</t>
  </si>
  <si>
    <t xml:space="preserve">Proactive Controls 2024</t>
  </si>
  <si>
    <t xml:space="preserve">Released; next version in progress</t>
  </si>
  <si>
    <t xml:space="preserve">2024 edition (C1-C10)</t>
  </si>
  <si>
    <t xml:space="preserve">https://top10proactive.owasp.org/</t>
  </si>
  <si>
    <t xml:space="preserve">Developer-facing control themes for training and requirement grouping; C4 'Address Security from the Start' anchors requirements practice</t>
  </si>
  <si>
    <t xml:space="preserve">Securityrat</t>
  </si>
  <si>
    <t xml:space="preserve">OWASP Incubator; low maintenance (v1 updated Aug 2025, v2 stalled 2022)</t>
  </si>
  <si>
    <t xml:space="preserve">1.x line; docker-compose updated Feb 2026</t>
  </si>
  <si>
    <t xml:space="preserve">Free ASVS-to-Jira generator for pilots; not recommended as long-term system of record; ASVS 5.0 set must be self-built</t>
  </si>
  <si>
    <t xml:space="preserve">Cheat Sheet Series</t>
  </si>
  <si>
    <t xml:space="preserve">Active (Flagship)</t>
  </si>
  <si>
    <t xml:space="preserve">140+ cheat sheets, continuously updated (2026 additions on AI agents, LLM prompt injection)</t>
  </si>
  <si>
    <t xml:space="preserve">Attach as implementation guidance to each requirement via ASVS/MASVS index; use offline bundle in air-gapped clients</t>
  </si>
  <si>
    <t xml:space="preserve">Top 10 2025</t>
  </si>
  <si>
    <t xml:space="preserve">Released</t>
  </si>
  <si>
    <t xml:space="preserve">OWASP Top 10:2025 (released Nov 2025; 8th edition)</t>
  </si>
  <si>
    <t xml:space="preserve">https://top10.owasp.org/2025/</t>
  </si>
  <si>
    <t xml:space="preserve">New categories: A03 Software Supply Chain Failures (expanded), A10 Mishandling of Exceptional Conditions (new); SSRF merged into A01; Security Misconfiguration up to A02; Insecure Design A06</t>
  </si>
  <si>
    <t xml:space="preserve">Awareness and mapping layer only; do not use as a requirements list; map each category to ASVS chapters</t>
  </si>
  <si>
    <t xml:space="preserve">Top 10 Llm 2025</t>
  </si>
  <si>
    <t xml:space="preserve">OWASP Top 10 for LLM Applications 2025 (12 Mar 2025)</t>
  </si>
  <si>
    <t xml:space="preserve">Derive AI-application requirements (prompt injection, excessive agency, output handling); pair with AISVS for verifiable requirements</t>
  </si>
  <si>
    <t xml:space="preserve">Flagship (since Mar 2025), living document</t>
  </si>
  <si>
    <t xml:space="preserve">Continuously updated; liaison to ISO/IEC 27090/27091 and EU AI Act standards</t>
  </si>
  <si>
    <t xml:space="preserve">Source of ~50+ AI security controls in four groups (Manage, Resilient models, Watch, Limit); use as requirement catalogue for AI features; OpenCRE-linked</t>
  </si>
  <si>
    <t xml:space="preserve">Security Champions Guide</t>
  </si>
  <si>
    <t xml:space="preserve">Active OWASP project (evolving playbook, CC BY-SA 4.0)</t>
  </si>
  <si>
    <t xml:space="preserve">No formal version; ongoing interviews and artifact collection</t>
  </si>
  <si>
    <t xml:space="preserve">https://owasp.org/www-project-security-champions-guidebook/</t>
  </si>
  <si>
    <t xml:space="preserve">Use charters and KPIs to make champions the owners of requirement selection and verification in each squad</t>
  </si>
  <si>
    <t xml:space="preserve">Defectdojo</t>
  </si>
  <si>
    <t xml:space="preserve">OWASP Flagship project; actively maintained by DefectDojo Inc.</t>
  </si>
  <si>
    <t xml:space="preserve">3.2.400 (released 31 August 2026 per GitHub releases)</t>
  </si>
  <si>
    <t xml:space="preserve">License: BSD-3-Clause
Features: Aggregation of 200+ scanner formats, deduplication, SLA tracking, Jira integration, REST API, Docker/Kubernetes deployment, reporting
Commercial pro: DefectDojo Pro: SaaS or self-hosted from $100/month; new UI, risk-based prioritisation, connectors (ServiceNow, GitHub, GitLab, Azure DevOps), automatic enrichment, scale; AI-assisted features reported but unverified
Sources: - https://github.com/DefectDojo/django-DefectDojo
- https://github.com/DefectDojo/django-DefectDojo/releases</t>
  </si>
  <si>
    <t xml:space="preserve">Adopt as the vendor-neutral aggregation baseline for client engagements where a commercial ASPM is not budgeted, and as the reference model for finding normalisation and SLA policy when evaluating commercial ASPMs</t>
  </si>
  <si>
    <t xml:space="preserve">Active community (Incubator/Lab) project led by Ali Yazdani and Milan Singh Thakur</t>
  </si>
  <si>
    <t xml:space="preserve">Rolling 'latest' at owasp.org/www-project-devsecops-guideline/latest/ (no numbered 2026 release verified)</t>
  </si>
  <si>
    <t xml:space="preserve">Features: Pipeline stage guidance: secrets in repos, SAST, DAST, SCA, IaC scanning, compliance checks; links to SAMM and DSOMM
Sources: https://owasp.org/www-project-devsecops-guideline/</t>
  </si>
  <si>
    <t xml:space="preserve">Use as the pipeline-stage checklist when defining minimum scanner coverage per client and mapping which platform modules satisfy each stage</t>
  </si>
  <si>
    <t xml:space="preserve">OWASP Lab project (Timo Pagel, Aryan Prasad); actively maintained at dsomm.owasp.org</t>
  </si>
  <si>
    <t xml:space="preserve">Continuous releases on GitHub (wurstbrot/DevSecOps-MaturityModel); no single 2026 version number verified</t>
  </si>
  <si>
    <t xml:space="preserve">Features: Maturity dimensions and implementation levels for build/deployment, culture, information gathering, implementation, test and verification; mappings to SAMM and ISO 27001
Sources: https://owasp.org/www-project-devsecops-maturity-model/</t>
  </si>
  <si>
    <t xml:space="preserve">Use as the maturity yardstick in client assessments and to justify consolidation vs best-of-breed by maturity level (low-maturity clients benefit from one platform; high-maturity clients can run best-of-breed plus ASPM)</t>
  </si>
  <si>
    <t xml:space="preserve">Aspm Guidance</t>
  </si>
  <si>
    <t xml:space="preserve">OWASP has no dedicated ASPM standard; ASPM concepts are covered by DefectDojo (reference implementation), DSOMM (maturity), SAMM, and the CI/CD Top 10 (pipeline posture)</t>
  </si>
  <si>
    <t xml:space="preserve">n/a</t>
  </si>
  <si>
    <t xml:space="preserve">Sources: - https://github.com/DefectDojo/django-DefectDojo
- https://owasp.org/www-project-devsecops-maturity-model/</t>
  </si>
  <si>
    <t xml:space="preserve">Treat Gartner's ASPM definition (correlation, prioritisation, policy, remediation orchestration across tools) as the functional spec and use DefectDojo as the open reference model in RFPs</t>
  </si>
  <si>
    <t xml:space="preserve">Released; current version</t>
  </si>
  <si>
    <t xml:space="preserve">OWASP Top 10:2025 (published November 2025; exact date not shown on fetched page)</t>
  </si>
  <si>
    <t xml:space="preserve">Categories: - A01 Broken Access Control
- A02 Security Misconfiguration
- A03 Software Supply Chain Failures
- A04 Cryptographic Failures
- A05 Injection
- A06 Insecure Design
- A07 Authentication Failures
- A08 Software or Data Integrity Failures
- A09 Security Logging and Alerting Failures
- A10 Mishandling of Exceptional Conditions
Sources: - https://top10.owasp.org/2025/
- https://owasp.org/www-project-top-ten/</t>
  </si>
  <si>
    <t xml:space="preserve">Update client policy baselines and scanner rule mappings to 2025 categories; note A03 Software Supply Chain Failures elevates SCA/SBOM/pipeline controls, which supports platform buyers that bundle SSCS</t>
  </si>
  <si>
    <t xml:space="preserve">Top 10 Llm</t>
  </si>
  <si>
    <t xml:space="preserve">OWASP Top 10 for LLM Applications 2025 (released Nov 2024) superseded by OWASP GenAI LLM Top 10 2026 (released 3 August 2026)</t>
  </si>
  <si>
    <t xml:space="preserve">GenAI LLM Top 10 2026 (3 Aug 2026); item list not captured this session</t>
  </si>
  <si>
    <t xml:space="preserve">Sources: - https://genai.owasp.org/resource/owasp-genai-llm-top-10-2026/
- https://genai.owasp.org/</t>
  </si>
  <si>
    <t xml:space="preserve">Use as the test-case catalogue for LLM application assessments and as the requirement set for AI-SPM/LLM scanner modules (Checkmarx LLM scanner, Snyk AI-SPM, Mend AI)</t>
  </si>
  <si>
    <t xml:space="preserve">Agentic Security Initiative</t>
  </si>
  <si>
    <t xml:space="preserve">Active initiative of the OWASP GenAI Security Project</t>
  </si>
  <si>
    <t xml:space="preserve">OWASP Top 10 for Agentic Applications for 2026 (published Dec 2025); State of Agentic AI Security and Governance 2.01; Agent Control Standard (ACS, 2026); Practical Guide for Secure MCP Server Development; AI Security Solutions Landscape for Agentic AI Q2 2026; AIUC-1 crosswalk</t>
  </si>
  <si>
    <t xml:space="preserve">Sources: https://genai.owasp.org/initiatives/agentic-security-initiative/</t>
  </si>
  <si>
    <t xml:space="preserve">Use the Agentic Top 10 and MCP server guide to assess the vendors' own MCP servers and agents (every platform in this file now ships one) and to build the client control set for coding-agent governance</t>
  </si>
  <si>
    <t xml:space="preserve">Ai Testing Guide</t>
  </si>
  <si>
    <t xml:space="preserve">Version 1, 26 November 2025 (leads Matteo Meucci, Marco Morana)</t>
  </si>
  <si>
    <t xml:space="preserve">Features: Four layers (application, model, infrastructure, data); tests for adversarial manipulation, bias, poisoning, hallucination, drift, alignment
Sources: https://owasp.org/www-project-ai-testing-guide/</t>
  </si>
  <si>
    <t xml:space="preserve">Adopt as the methodology for AI system testing engagements and to evaluate vendor 'AI red teaming' and 'agentic pentest' modules against a neutral standard</t>
  </si>
  <si>
    <t xml:space="preserve">Cicd Top 10</t>
  </si>
  <si>
    <t xml:space="preserve">v1.0 (October 2022); no 2025-2026 revision verified</t>
  </si>
  <si>
    <t xml:space="preserve">Risks: - CICD-SEC-1 Insufficient Flow Control
- 2 Inadequate IAM
- 3 Dependency Chain Abuse
- 4 Poisoned Pipeline Execution
- 5 Insufficient PBAC
- 6 Insufficient Credential Hygiene
- 7 Insecure System Configuration
- 8 Ungoverned 3rd-Party Services
- 9 Improper Artifact Integrity Validation
- 10 Insufficient Logging and Visibility
Sources: https://owasp.org/www-project-top-10-ci-cd-security-risks/</t>
  </si>
  <si>
    <t xml:space="preserve">Use as the scoring rubric for the pipeline-posture module of ASPM/SSCS tools (Cycode, Legit, OX, Apiiro, Checkmarx Repository Health) and in client CI/CD hardening assessments</t>
  </si>
  <si>
    <t xml:space="preserve">New entrants 2025 to 2026</t>
  </si>
  <si>
    <t xml:space="preserve">Tools launched, forked or first funded in 2025-2026, flagged in the category tabs, plus additional names surfaced in each sweep that did not merit a full row. Funding figures are from press coverage and are marked where unverified.</t>
  </si>
  <si>
    <t xml:space="preserve">Reference link</t>
  </si>
  <si>
    <t xml:space="preserve">Why it is on the list</t>
  </si>
  <si>
    <t xml:space="preserve">Full row in category tab?</t>
  </si>
  <si>
    <t xml:space="preserve">AI SAST / agentic capabilities launched 2025-2026 (company founded 2021)</t>
  </si>
  <si>
    <t xml:space="preserve">CodeRabbit Security / AI Deep Scan is a 2026 product line on an existing code-review vendor (CodeRabbit raised Series B in 2025 per prior knowledge, unverified)</t>
  </si>
  <si>
    <t xml:space="preserve">Security Review launched 2026-09-23; Bugbot launched mid-2025</t>
  </si>
  <si>
    <t xml:space="preserve">AI SAST product launched Nov 2025 (company founded 2021, Series B 2025)</t>
  </si>
  <si>
    <t xml:space="preserve">Security scanning features added 2025-2026; Series A 2025 (prior knowledge, unverified)</t>
  </si>
  <si>
    <t xml:space="preserve">Runtime-aware AI SAST and Kai agents launched 2025-2026 (company founded 2023, $25M seed 2023 per prior knowledge, unverified)</t>
  </si>
  <si>
    <t xml:space="preserve">Founded 2024 (YC); commercial SAST product and Team pricing launched 2025 (funding date unverified)</t>
  </si>
  <si>
    <t xml:space="preserve">Project launched January 2025 (fork of Semgrep CE)</t>
  </si>
  <si>
    <t xml:space="preserve">Endor Labs AI SAST</t>
  </si>
  <si>
    <t xml:space="preserve">Multi-modal LLM-plus-agent SAST launched Nov 2025 with natural-language checks.</t>
  </si>
  <si>
    <t xml:space="preserve">No (sweep note only)</t>
  </si>
  <si>
    <t xml:space="preserve">Kodem runtime-aware AI SAST</t>
  </si>
  <si>
    <t xml:space="preserve">Runtime-validated SAST with Kai fix agents, 2025-2026; OpenAI Daybreak partner.</t>
  </si>
  <si>
    <t xml:space="preserve">Arnica AI SAST</t>
  </si>
  <si>
    <t xml:space="preserve">Deterministic plus multi-agent SAST and agentic rules for coding agents, 2025-2026.</t>
  </si>
  <si>
    <t xml:space="preserve">Greptile security scanning</t>
  </si>
  <si>
    <t xml:space="preserve">AI reviewer added Opengrep and SCA scanning in 2025-2026.</t>
  </si>
  <si>
    <t xml:space="preserve">Cycode Agentic Code Scanning</t>
  </si>
  <si>
    <t xml:space="preserve">Sep 2026 agentic scanning and attack chaining on the Bearer-derived engine (vendor not new, product is).</t>
  </si>
  <si>
    <t xml:space="preserve">Sonar Remediation Agent / Vortex</t>
  </si>
  <si>
    <t xml:space="preserve">Jun 2026 autonomous fix PRs and agent guidance from an incumbent (product-level entrant).</t>
  </si>
  <si>
    <t xml:space="preserve">Snyk Evo Agentic Development Security</t>
  </si>
  <si>
    <t xml:space="preserve">GA Jun 2026: governs coding agents/MCP and scans agent output.</t>
  </si>
  <si>
    <t xml:space="preserve">Checkmarx One Assist agents</t>
  </si>
  <si>
    <t xml:space="preserve">https://checkmarx.com/product/checkmarx-one-assist/</t>
  </si>
  <si>
    <t xml:space="preserve">Developer Assist GA Aug 2025; Triage/Remediation Assist and AI SAST Mar 2026.</t>
  </si>
  <si>
    <t xml:space="preserve">Black Duck Signal</t>
  </si>
  <si>
    <t xml:space="preserve">https://www.blackduck.com/signal-ai-appsec.html</t>
  </si>
  <si>
    <t xml:space="preserve">Agentic AppSec for AI-generated code, Dec 2025 / Mar 2026; Coverity AI triage Jul 2026.</t>
  </si>
  <si>
    <t xml:space="preserve">Fortify Remediation Aviator</t>
  </si>
  <si>
    <t xml:space="preserve">LLM audit-every-finding plus fix add-on, 26.x releases through Sep 2026.</t>
  </si>
  <si>
    <t xml:space="preserve">HCL AppScan RapidFix</t>
  </si>
  <si>
    <t xml:space="preserve">Agentic triage plus Codemodder fixes, 2025-2026.</t>
  </si>
  <si>
    <t xml:space="preserve">vet and PMG open-source tools (2025), SafeDep Cloud, MCP server; real-time malware detection; funding undisclosed</t>
  </si>
  <si>
    <t xml:space="preserve">Echo</t>
  </si>
  <si>
    <t xml:space="preserve">https://www.echohq.com/</t>
  </si>
  <si>
    <t xml:space="preserve">AI-rebuilt vulnerability-free container images; $15M seed July 2025, $35M Series A Dec 2025; acquired Minimus assets Aug 2026</t>
  </si>
  <si>
    <t xml:space="preserve">AI agent skills/add-on vetting and blocking; $50M seed (Sequoia, Greenoaks) announced Sept 2026; adjacent to SCA</t>
  </si>
  <si>
    <t xml:space="preserve">Minimus (defunct)</t>
  </si>
  <si>
    <t xml:space="preserve">https://www.minimus.io/</t>
  </si>
  <si>
    <t xml:space="preserve">$51M launch Apr 2025 for hardened images; wound down and assets bought by Echo Aug 2026. Signal that hardened-image market is consolidating around Chainguard</t>
  </si>
  <si>
    <t xml:space="preserve">RapidFort (not new but newly rated)</t>
  </si>
  <si>
    <t xml:space="preserve">https://www.rapidfort.com/</t>
  </si>
  <si>
    <t xml:space="preserve">Gartner Cool Vendor 2025 and recognised in 2026 SSCS MQ; curated OSS catalogue and image hardening incl. LLM and MCP components</t>
  </si>
  <si>
    <t xml:space="preserve">Ossprey</t>
  </si>
  <si>
    <t xml:space="preserve">Ossprey (UK)</t>
  </si>
  <si>
    <t xml:space="preserve">https://securitybrief.co.uk/story/ossprey-raises-usd-2-65-million-for-supply-chain-security</t>
  </si>
  <si>
    <t xml:space="preserve">UK startup securing AI-driven software supply chains; $2.65M pre-seed reported July 2026 (outside window), worth watching for a future row.</t>
  </si>
  <si>
    <t xml:space="preserve">Cremit</t>
  </si>
  <si>
    <t xml:space="preserve">NHI + secrets detection, founded 2023, RSAC 2026 visibility; included above</t>
  </si>
  <si>
    <t xml:space="preserve">Geordie AI</t>
  </si>
  <si>
    <t xml:space="preserve">https://www.geordie.ai/</t>
  </si>
  <si>
    <t xml:space="preserve">Founded 2025; RSAC 2026 Innovation Sandbox winner; AI-agent runtime risk engine (prompt and tool-call constraints), not a secrets scanner; adjacent</t>
  </si>
  <si>
    <t xml:space="preserve">Defakto (ex-SPIRL)</t>
  </si>
  <si>
    <t xml:space="preserve">https://www.defakto.security/</t>
  </si>
  <si>
    <t xml:space="preserve">$30.75M Series B Oct 21, 2025; secretless workload identity (SPIFFE/WIMSE); adjacent to detection</t>
  </si>
  <si>
    <t xml:space="preserve">Token Security</t>
  </si>
  <si>
    <t xml:space="preserve">https://www.token.security/</t>
  </si>
  <si>
    <t xml:space="preserve">$20M Series A Jan 2025; NHI and agent intent-based permissioning; adjacent</t>
  </si>
  <si>
    <t xml:space="preserve">Clutch Security</t>
  </si>
  <si>
    <t xml:space="preserve">https://www.clutch.security/</t>
  </si>
  <si>
    <t xml:space="preserve">$20M Series A 2025; universal NHI platform with identity lineage; adjacent</t>
  </si>
  <si>
    <t xml:space="preserve">Arrakis Security</t>
  </si>
  <si>
    <t xml:space="preserve">unverified</t>
  </si>
  <si>
    <t xml:space="preserve">Reported $8M seed Aug 2026 for AI-agent identity governance (single aggregator source; unverified, distinct from industrial-AI Arrakis)</t>
  </si>
  <si>
    <t xml:space="preserve">Obsidian Security / Zenity</t>
  </si>
  <si>
    <t xml:space="preserve">https://www.obsidiansecurity.com/</t>
  </si>
  <si>
    <t xml:space="preserve">Aug 2026 rounds ($85M Series D, $125M Series C) for NHI/agent governance in SaaS and low-code; adjacent, not code secrets</t>
  </si>
  <si>
    <t xml:space="preserve">Gurucul AI Risk and Response</t>
  </si>
  <si>
    <t xml:space="preserve">Gurucul</t>
  </si>
  <si>
    <t xml:space="preserve">https://www.helpnetsecurity.com/2026/09/25/new-infosec-products-of-the-month-september-2026/</t>
  </si>
  <si>
    <t xml:space="preserve">Sept 24, 2026 launch of a behavioral analytics module that ties AI agent activity to identity, access and credential usage; SIEM/UEBA adjacent, not a secrets scanner, so no row.</t>
  </si>
  <si>
    <t xml:space="preserve">Akeyless Agentic Runtime Authority (SecretlessAI)</t>
  </si>
  <si>
    <t xml:space="preserve">Akeyless</t>
  </si>
  <si>
    <t xml:space="preserve">Sept 9, 2026 (before the window) launch of a runtime identity layer that keeps credentials out of AI agents; secrets-management adjacent rather than detection, noted for the NHI landscape only.</t>
  </si>
  <si>
    <t xml:space="preserve">Orchid Security AI Agent Kill Switches</t>
  </si>
  <si>
    <t xml:space="preserve">Orchid Security</t>
  </si>
  <si>
    <t xml:space="preserve">Sept 9, 2026 (before the window) identity-drift controls for AI agents abusing hard-coded credentials and orphaned accounts; IAM adjacent, no secrets scanning product page verified.</t>
  </si>
  <si>
    <t xml:space="preserve">Safeguard.sh</t>
  </si>
  <si>
    <t xml:space="preserve">SBOM+AIBOM with agentic remediation; unproven</t>
  </si>
  <si>
    <t xml:space="preserve">Manifest AI Risk module</t>
  </si>
  <si>
    <t xml:space="preserve">launched Aug 2025 after $15M Series A Apr 2025</t>
  </si>
  <si>
    <t xml:space="preserve">Snyk AI-BOM</t>
  </si>
  <si>
    <t xml:space="preserve">GA in Snyk CLI with MCP detection since Aug 2025</t>
  </si>
  <si>
    <t xml:space="preserve">Wiz AI-BOM (not profiled)</t>
  </si>
  <si>
    <t xml:space="preserve">cloud-side AI service inventory; verify separately</t>
  </si>
  <si>
    <t xml:space="preserve">Lineaje UnifAI</t>
  </si>
  <si>
    <t xml:space="preserve">AI asset discovery; MQ Visionary Jun 2026</t>
  </si>
  <si>
    <t xml:space="preserve">Cisco AI Defense aibom (open-source CLI)</t>
  </si>
  <si>
    <t xml:space="preserve">https://github.com/cisco-ai-defense/aibom</t>
  </si>
  <si>
    <t xml:space="preserve">Open-source AI-BOM generator CLI announced Feb 2026 (outside window); folded into the existing Cisco AI Defense row via field_changes rather than a new row.</t>
  </si>
  <si>
    <t xml:space="preserve">Seezo (Accel-led seed; Claude-based design reviews; Gartner PI listed)</t>
  </si>
  <si>
    <t xml:space="preserve">DevArmor (continuous threat modeling and PR guardrails for agentic development)</t>
  </si>
  <si>
    <t xml:space="preserve">Oplane (continuous architectural threat modeling from repos, agent/MCP threat focus)</t>
  </si>
  <si>
    <t xml:space="preserve">Prime Security (AI security design reviews; unverified this session)</t>
  </si>
  <si>
    <t xml:space="preserve">AWS Labs threat-modeling-mcp-server and Threat Composer CLI/</t>
  </si>
  <si>
    <t xml:space="preserve">AWS Labs threat-modeling-mcp-server and Threat Composer CLI/MCP (2026 releases, Claude Sonnet 4.5 default)</t>
  </si>
  <si>
    <t xml:space="preserve">mcp-stride-gpt hosted MCP server</t>
  </si>
  <si>
    <t xml:space="preserve">mcp-stride-gpt hosted MCP server (mcp.stridegpt.ai)</t>
  </si>
  <si>
    <t xml:space="preserve">ThreatModeler Nexus agentic platform and MCP server</t>
  </si>
  <si>
    <t xml:space="preserve">ThreatModeler Nexus agentic platform and MCP server (2026 rebrand of ThreatModeler)</t>
  </si>
  <si>
    <t xml:space="preserve">SD Elements for Agentic AI Workflow</t>
  </si>
  <si>
    <t xml:space="preserve">SD Elements for Agentic AI Workflow (Feb 2026)</t>
  </si>
  <si>
    <t xml:space="preserve">OWASP Top 10 for Agentic Applications 2026 and Agent Control</t>
  </si>
  <si>
    <t xml:space="preserve">OWASP Top 10 for Agentic Applications 2026 and Agent Control Standard (Sept 2026)</t>
  </si>
  <si>
    <t xml:space="preserve">Precogly</t>
  </si>
  <si>
    <t xml:space="preserve">Precogly (OWASP Precogly): open-source, self-hosted threat modeling with BYO-LLM suggestions, MCP server and CycloneDX TM-BOM; added 27 Sep 2026 after user flag; https://www.precogly.org/</t>
  </si>
  <si>
    <t xml:space="preserve">Apiiro AI Threat Modeling</t>
  </si>
  <si>
    <t xml:space="preserve">https://www.helpnetsecurity.com/2026/03/23/apiiro-ai-threat-modeling/</t>
  </si>
  <si>
    <t xml:space="preserve">ASPM vendor launched AI Threat Modeling (design-stage risk from tickets and docs) in March 2026; outside the window and likely covered under ASPM, but not present in the threat modeling inventory.</t>
  </si>
  <si>
    <t xml:space="preserve">SD Elements 2026.9.1 Devici sync (agentic workflow)</t>
  </si>
  <si>
    <t xml:space="preserve">https://docs.sdelements.com/release/latest/guide/docs/release_notes/</t>
  </si>
  <si>
    <t xml:space="preserve">Released 2026-09-12 (just before the window): /sync-devici-threat-model MCP command exports an Open Threat Model from Devici into an SD Elements project, plus OWASP Top 10 countermeasure skill files for Rust and Go. Flagged for the coordinator in case the prior run missed it.</t>
  </si>
  <si>
    <t xml:space="preserve">AI security design review producing requirements; Claude-based; customers Ascot, Razorpay; verified on vendor site.</t>
  </si>
  <si>
    <t xml:space="preserve">ThreatModeler Nexus (June 2026 relaunch)</t>
  </si>
  <si>
    <t xml:space="preserve">Existing vendor, new agentic platform with MCP and BYO-AI.</t>
  </si>
  <si>
    <t xml:space="preserve">SD Elements Agentic AI Workflow / MCP (Feb 2026)</t>
  </si>
  <si>
    <t xml:space="preserve">Existing vendor, new AI-agent governance offering.</t>
  </si>
  <si>
    <t xml:space="preserve">OWASP Secure by Design Framework (v0.5, Aug 2025)</t>
  </si>
  <si>
    <t xml:space="preserve">New incubator project with design review checklist.</t>
  </si>
  <si>
    <t xml:space="preserve">Community OWASP ASVS MCP server (Oct 2025)</t>
  </si>
  <si>
    <t xml:space="preserve">Open-source agent grounding for ASVS 5.0.</t>
  </si>
  <si>
    <t xml:space="preserve">AI-native SAST/autofix; RSAC 2026 Innovation Sandbox top 10; curl and Fortune 500 users</t>
  </si>
  <si>
    <t xml:space="preserve">YC-backed AI SAST (BLAST) with autofix, SCA, IaC, containers</t>
  </si>
  <si>
    <t xml:space="preserve">Autonomous AppSec with red/blue/purple agents; air-gap deployable; RSAC 2026 awards</t>
  </si>
  <si>
    <t xml:space="preserve">AI security engineer teammate (unverified this session)</t>
  </si>
  <si>
    <t xml:space="preserve">Gomboc AI</t>
  </si>
  <si>
    <t xml:space="preserve">Deterministic IaC remediation (unverified this session)</t>
  </si>
  <si>
    <t xml:space="preserve">Pi Security</t>
  </si>
  <si>
    <t xml:space="preserve">Root-cause and variant analysis for remediation (per AppSec Santa 2026 list; unverified)</t>
  </si>
  <si>
    <t xml:space="preserve">Developer-first posture for AI-generated code; freemium; on-prem at Enterprise tier (per AppSec Santa; unverified)</t>
  </si>
  <si>
    <t xml:space="preserve">Endor Labs and Aikido (scale-ups)</t>
  </si>
  <si>
    <t xml:space="preserve">Not new, but 2025 funding rounds moved both from point tools to platform contenders</t>
  </si>
  <si>
    <t xml:space="preserve">Gartner Emerging Market Quadrant for AI Application Security (2026)</t>
  </si>
  <si>
    <t xml:space="preserve">Gartner</t>
  </si>
  <si>
    <t xml:space="preserve">https://www.globenewswire.com/news-release/2026/09/21/3365510/0/en/varonis-recognized-as-a-pace-setter-in-the-gartner-emerging-market-quadrant-for-ai-application-security-established-vendors.html</t>
  </si>
  <si>
    <t xml:space="preserve">New Gartner report published around Sept 21, 2026 with Established Vendors and Startup Vendors editions (Varonis named Pace Setter; PointGuard AI named Pioneer in the startup edition). Covers AI application security rather than ASPM; worth checking whether any tracked platform vendors were placed.</t>
  </si>
  <si>
    <t xml:space="preserve">Pillar Security</t>
  </si>
  <si>
    <t xml:space="preserve">https://www.pillar.security/blog/pillar-security-named-as-a-2026-gartner-r-cool-vendor-in-ai-software-security</t>
  </si>
  <si>
    <t xml:space="preserve">Named a 2026 Gartner Cool Vendor in AI Software Security; date not confirmed within the window and the product is AI security rather than an AppSec platform or ASPM.</t>
  </si>
  <si>
    <t xml:space="preserve">Pulse Security</t>
  </si>
  <si>
    <t xml:space="preserve">https://pulse2.com/pulse-security-raises-8-million-seed-funding-and-launches-ai-platform-for-cisos/</t>
  </si>
  <si>
    <t xml:space="preserve">$8M seed and launch of an AI platform for CISOs surfaced in a September 2026 funding search; date and AppSec relevance not verified.</t>
  </si>
  <si>
    <t xml:space="preserve">Market notes per category</t>
  </si>
  <si>
    <t xml:space="preserve">Trends 2025-2026, recommendations and reasoning, best OSS picks, and analysis notes as recorded in each research stream.</t>
  </si>
  <si>
    <t xml:space="preserve">Topic</t>
  </si>
  <si>
    <t xml:space="preserve">Content</t>
  </si>
  <si>
    <t xml:space="preserve">Market trends 2025 2026</t>
  </si>
  <si>
    <t xml:space="preserve">- AI autofix went mainstream: every Gartner MQ Leader now ships suggested fixes (Veracode Fix, Checkmarx Remediation Assist, Snyk Agent Fix, Fortify Aviator, Black Duck Assist, AppScan RapidFix, Copilot Autofix, GitLab Duo). Autonomous PR generation is still the minority (Contrast SmartFix, SonarQube Remediation Agent, Aikido AutoFix, Veracode Fix for SCA, Corgea, ZeroPath).
- AI triage / false-positive filtering became the top differentiator: Semgrep Assistant (96% agreement claim), Fortify Aviator audit, Coverity AI triage on BYO LLM (Jul 2026), Checkmarx Triage Assist, and AI-native entrants (Endor, DryRun, Corgea, ZeroPath, Cycode agentic scanning) claiming 90%+ noise cuts. Independent validation remains thin; OWASP Benchmark does not measure LLM triage.
- Agentic development pressure: vendors now integrate with AI coding agents via MCP servers and IDE agents (Checkmarx Developer Assist in Cursor/Windsurf/Copilot, Snyk Evo ADS GA Jun 2026, Sonar Vortex Jun 2026, Coverity MCP, Semgrep MCP, DryRun MCP). Scanning AI-generated code is the dominant marketing narrative (Veracode 2026 GenAI report: 56% secure pass rate).
- Licensing and OSS realignment: Semgrep's Dec 2024 move of rules and features behind a non-OSS licence produced the Opengrep fork (Jan 2025) backed by Aikido, Endor Labs, Amplify, Kodem, Orca and others; Opengrep is now the embedded engine for several commercial AI SAST products.
- Consolidation and ownership changes: Synopsys SIG became Black Duck under Clearlake/Francisco Partners (Oct 2024) and launched Signal agentic AppSec (Dec 2025/Mar 2026); Cycode absorbed Bearer (2024) and shipped agentic code scanning (Sep 2026); Sonar acquired Gitar (May 2026) and added Remediation Agent/Vortex (Jun 2026); Snyk acquired Invariant Labs and launched the Evo line (2026); Veracode bought Longbow (2024) and Phylum (2025); GitHub split GHAS into Code Security ($30) and Secret Protection ($19) in Apr 2025 and added Code Quality ($10) in Jul 2026.
- Analyst picture: Gartner MQ AST Oct 2025 Leaders are Checkmarx, Veracode, OpenText, Black Duck, Snyk and HCLSoftware; Contrast and Sonatype are Visionaries; Semgrep entered for the first time. Forrester Wave SAST Q3 2025 evaluated 10 vendors (Black Duck, Checkmarx, GitHub, GitLab, HCL, Mend, OpenText, Snyk, Sonar, Veracode) with Checkmarx, Snyk, Veracode and GitLab publicly confirmed as Leaders. No 2026 MQ for AST has been published as of Sep 2026 (verified only as a Gartner conference session).
- Pricing shifted toward per-contributor/per-committer and credit metering (GitHub, Semgrep, Endor, Snyk Enterprise credits, Aikido credits, GitLab Duo credits); incumbents (Checkmarx, Veracode, Fortify, Coverity, AppScan, Contrast) remain sales-led with no public list price.</t>
  </si>
  <si>
    <t xml:space="preserve">Top 3 contenders for enterprise consulting delivery</t>
  </si>
  <si>
    <t xml:space="preserve">Rank: 1
Tool: Checkmarx One
Reasoning: Only vendor that is a Leader in both Gartner MQ AST 2025 and Forrester SAST Wave Q3 2025 with the highest Current Offering score; broadest language and framework coverage for mixed client estates; GA agentic triage and remediation (Mar 2026) and IDE-agent integrations; multi-tenant plus single-tenant deployment fits multi-client delivery. Watch-outs: price opacity, add-on costs for AI, and cloud-first posture for air-gapped clients.
Rank: 2
Tool: Veracode Static Analysis with Veracode Fix
Reasoning: Dual Leader (Gartner and Forrester), lowest-friction binary scanning with strong policy/compliance reporting that regulated clients expect, and the most mature autofix lineage (Fix since 2023, SCA auto-PRs 2026). Best when clients accept SaaS-only; per-app pricing is predictable for portfolio-style engagements. Not viable for on-prem mandates.
Rank: 3
Tool: GitLab Ultimate (Advanced SAST + Duo) or GitHub Code Security (CodeQL + Copilot Autofix), chosen by client SCM
Reasoning: Platform-native SAST removes integration effort and gives transparent per-user/per-committer pricing; GitLab is a Forrester SAST Leader and supports self-managed/air-gapped delivery with self-hosted AI models, which matters for sovereign and public-sector clients; GitHub gives the strongest open query language (CodeQL) for custom rules. Trade-off: depth and language breadth trail Checkmarx/Veracode/Fortify, and value collapses if the client is not on that platform.
Honourable mentions: OpenText Fortify for mainframe/ERP (COBOL, ABAP) and government on-prem with Aviator audit; Black Duck Coverity for embedded C/C++ and safety standards; Semgrep for teams that want to own rules and a proven AI triage layer at per-contributor prices; Aikido for SMB clients wanting one console with published pricing.</t>
  </si>
  <si>
    <t xml:space="preserve">Best oss pick</t>
  </si>
  <si>
    <t xml:space="preserve">Verification notes</t>
  </si>
  <si>
    <t xml:space="preserve">Analyst placements are taken from vendor press releases and Forrester's own blog; quadrant positions for GitLab, GitHub, Sonar, Mend, HCL and Black Duck in the Forrester SAST Wave Q3 2025 beyond the four confirmed Leaders were not found in public sources. Semgrep's Gartner 2025 quadrant is not stated by Semgrep. Pricing for sales-led vendors relies on Vendr and other third parties (Medium/Low confidence). AI claims (FP reduction percentages, fix accuracy) are vendor-reported unless noted.</t>
  </si>
  <si>
    <t xml:space="preserve">Tool: Opengrep
Reason: Consortium fork of Semgrep CE launched Jan 2025; now the engine under Aikido, Endor, Amplify, Kodem, Jit.
Link: https://www.opengrep.dev/
Tool: Endor Labs AI SAST
Reason: Multi-modal LLM-plus-agent SAST launched Nov 2025 with natural-language checks.
Link: https://www.endorlabs.com/use-case/sast
Tool: ZeroPath
Reason: YC-backed AI-native SAST with published Team pricing and self-hosted Enterprise, commercial launch 2025.
Link: https://zeropath.com/
Tool: Kodem runtime-aware AI SAST
Reason: Runtime-validated SAST with Kai fix agents, 2025-2026; OpenAI Daybreak partner.
Link: https://www.kodemsecurity.com/platform/sast
Tool: Arnica AI SAST
Reason: Deterministic plus multi-agent SAST and agentic rules for coding agents, 2025-2026.
Link: https://www.arnica.io/
Tool: CodeRabbit Security
Reason: 2026 agentic deep-scan add-on from the most-installed AI code review app.
Link: https://www.coderabbit.ai/security
Tool: Cursor Security Review
Reason: PR security review launched 23 Sep 2026 alongside Bugbot for Teams/Enterprise.
Link: https://cursor.com/changelog
Tool: Greptile security scanning
Reason: AI reviewer added Opengrep and SCA scanning in 2025-2026.
Link: https://www.greptile.com/
Tool: Cycode Agentic Code Scanning
Reason: Sep 2026 agentic scanning and attack chaining on the Bearer-derived engine (vendor not new, product is).
Link: https://cycode.com/platform/sast/
Tool: Sonar Remediation Agent / Vortex
Reason: Jun 2026 autonomous fix PRs and agent guidance from an incumbent (product-level entrant).
Link: https://www.sonarsource.com/products/sonarqube/
Tool: Snyk Evo Agentic Development Security
Reason: GA Jun 2026: governs coding agents/MCP and scans agent output.
Link: https://snyk.io/
Tool: Checkmarx One Assist agents
Reason: Developer Assist GA Aug 2025; Triage/Remediation Assist and AI SAST Mar 2026.
Link: https://checkmarx.com/product/checkmarx-one-assist/
Tool: Black Duck Signal
Reason: Agentic AppSec for AI-generated code, Dec 2025 / Mar 2026; Coverity AI triage Jul 2026.
Link: https://www.blackduck.com/signal-ai-appsec.html
Tool: Fortify Remediation Aviator
Reason: LLM audit-every-finding plus fix add-on, 26.x releases through Sep 2026.
Link: https://www.opentext.com/products/application-security-aviator
Tool: HCL AppScan RapidFix
Reason: Agentic triage plus Codemodder fixes, 2025-2026.
Link: https://www.hcl-software.com/appscan/products/rapidfix</t>
  </si>
  <si>
    <t xml:space="preserve">New entrant sweep notes</t>
  </si>
  <si>
    <t xml:space="preserve">Sweep run 2026-09-26 with WebFetch against vendor pages after the session's WebSearch budget was exhausted; funding dates could not be independently verified this session and are flagged. Candidates reviewed and excluded as out of SAST scope: Gomboc (IaC remediation only), Backslash Security (pivoted to agentic AI endpoint security), Ghost Security (autonomous SOC/security agents, not code analysis), Vulnetic (AI pentest agent Sable), Escape (API/DAST), Bito (AI code review without documented SAST), Sweep (coding agent), Tonic and Oasis (no verifiable SAST product found). Remediation-layer vendors Pixee, Mobb and Nullify were added as full entries because consulting teams evaluate them alongside SAST, with is_new_entrant false since they pre-date 2025. Gartner Cool Vendors 2025, RSAC 2026 Innovation Sandbox and Black Hat 2026 Startup Spotlight lists could not be fetched this session (unverified).</t>
  </si>
  <si>
    <t xml:space="preserve">- Reachability is table stakes: Endor Labs, Semgrep, Socket, Aikido, Xygeni, Arnica and Checkmarx all ship it; Cycode and Konvu push beyond to AI exploitability analysis. Buyers now ask for language coverage and accuracy benchmarks rather than whether it exists.
- Malicious package surge: Shai-Hulud worm (Sept 2025, 500+ npm packages incl. CrowdStrike-published packages), Shai-Hulud 2.0 (Nov 2025), CHAINDROP (400+ packages), Axios and LiteLLM compromises (Mar 2026), TanStack/Mistral mass campaign and continued npm/PyPI waves through July 2026. Install-time blocking (Repository Firewall, JFrog Curation, Veracode Package Firewall, Socket Firewall, Endor Package Firewall, Aikido Safe Chain, SafeDep PMG) moved from optional to mandatory.
- AI-generated dependency hallucination (slopsquatting): CSA research note (Apr 2026) and vendor studies cite up to 27% hallucinated package names from LLMs; Sonatype Guide MCP (Mar 2026), SafeDep MCP, Socket and Snyk Studio insert verified-package checks into coding agents.
- Agent-era supply chain: MCP servers, agent skills and IDE extensions are the new attack surface. JFrog AI Catalog/Agent Guard (Sept 2026), Snyk agent-scan, Endor AURI, AIR ($50M, Sept 2026) target it. AI-BOM (CycloneDX 1.6 ML-BOM) support arriving from Snyk, Mend AI, Black Duck AI Model Risk Insights, Sonatype, JFrog.
- Corporate moves: Phylum acquired by Veracode (Jan 2025) and rebranded Package Firewall; Black Duck spun out of Synopsys to Clearlake/Francisco Partners for $2.1B (Oct 2024); Socket $60M Series C at $1B (May 2026); Aikido $60M Series B at $1B (Jan 2026); Chainguard $356M Series D at $3.5B (Apr 2025); Endor Labs $93M Series B (Apr 2025); Echo acquired Minimus assets after wind-down (Aug 2026); Aikido acquired Root.io.
- Analyst reset: Gartner published the inaugural Magic Quadrant for Software Supply Chain Security (17 June 2026; market $2.8B in 2025, $5B+ by 2030). Leaders publicly confirmed: Black Duck, Checkmarx, JFrog, Sonatype, Cycode, Chainguard. Visionaries: Endor Labs, Lineaje, ReversingLabs. Also recognised: RapidFort, Arnica. SCA is now evaluated as one pillar alongside SBOM lifecycle, third-party binary analysis and threat intelligence.
- Consolidation into ASPM/platforms: Snyk, Checkmarx One, Cycode, Aikido, Arnica, Xygeni, Mend and Veracode Risk Manager sell SCA as a module; pure-play SCA buying is declining except for licence/SBOM specialists (FOSSA) and hardened-source vendors (Chainguard, Echo).
- Pricing shift to consumption and contributors: Snyk credits (1 credit = $1), Endor and Arnica 90-day active contributors, GitHub per active committer ($30 Code Security).</t>
  </si>
  <si>
    <t xml:space="preserve">Top3 recommended for enterprise consulting delivery</t>
  </si>
  <si>
    <t xml:space="preserve">Rank: 1
Tool: Black Duck SCA
Reasoning: Only vendor that is a Leader in Gartner MQ AST 2025, Gartner MQ SSCS 2026 and Forrester SCA Wave 2024; deepest licence and binary/snippet coverage for regulated clients and M&amp;A audits; on-prem and air-gap deployment common in BFSI, auto and medtech engagements. Trade-off: cost, on-prem operational load and weaker developer experience; pair with a malware firewall.
Rank: 2
Tool: Sonatype Nexus One (Lifecycle + Repository Firewall + SBOM Manager)
Reasoning: Best ingestion-time blocking story for the malicious-package era, mature air-gap support, Gartner SSCS 2026 Leader and Forrester SCA Leader, plus Sonatype Guide MCP for AI coding assistants. Trade-off: value tied to Nexus Repository; limited reachability outside Java.
Rank: 3
Tool: Endor Labs
Reasoning: Function-level reachability across 40+ languages with the strongest noise reduction evidence (92% average), Package Firewall, Endor Patches and agent-era governance; Gartner SSCS 2026 Visionary and rapid product velocity. Trade-off: SaaS-only, younger KB, seat pricing. Recommended as the modern alternative or overlay where clients reject legacy SCA cost.
Alternates: Snyk Open Source where the client wants one developer-first platform; Checkmarx SCA where Checkmarx SAST is already deployed; Socket as a low-cost malware-defence add-on to any of the above.</t>
  </si>
  <si>
    <t xml:space="preserve">New entrants found in sweep</t>
  </si>
  <si>
    <t xml:space="preserve">Name: SafeDep
Note: vet and PMG open-source tools (2025), SafeDep Cloud, MCP server; real-time malware detection; funding undisclosed
Url: https://safedep.io/
Name: Echo
Note: AI-rebuilt vulnerability-free container images; $15M seed July 2025, $35M Series A Dec 2025; acquired Minimus assets Aug 2026
Url: https://www.echohq.com/
Name: Konvu
Note: AI vulnerability triage agents over existing SCA/SAST; Infosecurity Europe Cyber Startup Award June 2026; seed led by Emblem
Url: https://konvu.com/
Name: AIR
Note: AI agent skills/add-on vetting and blocking; $50M seed (Sequoia, Greenoaks) announced Sept 2026; adjacent to SCA
Url: https://air.security/
Name: Minimus (defunct)
Note: $51M launch Apr 2025 for hardened images; wound down and assets bought by Echo Aug 2026. Signal that hardened-image market is consolidating around Chainguard
Url: https://www.minimus.io/
Name: RapidFort (not new but newly rated)
Note: Gartner Cool Vendor 2025 and recognised in 2026 SSCS MQ; curated OSS catalogue and image hardening incl. LLM and MCP components
Url: https://www.rapidfort.com/
Tool: Ossprey
Vendor: Ossprey (UK)
Link: https://securitybrief.co.uk/story/ossprey-raises-usd-2-65-million-for-supply-chain-security
Reason: UK startup securing AI-driven software supply chains; $2.65M pre-seed reported July 2026 (outside window), worth watching for a future row.</t>
  </si>
  <si>
    <t xml:space="preserve">Unverified items</t>
  </si>
  <si>
    <t xml:space="preserve">- Gartner MQ SSCS 2026 positions for Snyk, Mend, Socket, Aikido, Xygeni, Veracode, Arnica quadrant (recognised but position not stated), FOSSA
- Gartner MQ AST 2025 positions for GitHub, GitLab, Mend, Endor Labs, Semgrep, Aikido
- All enterprise indicative_cost_usd values marked Low/None confidence; only list prices for Snyk Team, Socket, Aikido, Semgrep, FOSSA, Arnica, Xygeni, GitHub are vendor-published
- OSV-Scanner v2.6.0 release date parsed as Sept 2026 from GitHub; verify exact date
- Model providers for most vendors' AI features are not disclosed
- Scantist ecosystem coverage and Lineaje on-prem support taken from vendor marketing
- HCL AppScan SCA ecosystem list and SBOM/licence features not verified (help pages 404); OpenText Fortify SCA transition from Sonatype OEM to Debricked engine for legacy on-prem Fortify customers unverified; Veracode Fix coverage of SCA findings unverified</t>
  </si>
  <si>
    <t xml:space="preserve">- Secrets sprawl keeps growing: GitGuardian State of Secrets Sprawl 2026 reports 28.65M hardcoded secrets added to public GitHub in 2025 (+34% YoY), 1.28M AI-service secrets (+81% YoY), 113K leaked DeepSeek keys, 24,008 secrets in MCP config files (2,117 valid), Claude Code-assisted commits leaking at 3.2% vs 1.5% baseline, 64% of 2022 credentials still valid in Jan 2026, and ~28% of enterprise incidents originating outside repos (Slack, Jira, Confluence).
- NHI convergence and consolidation: secrets scanners rebrand as NHI platforms (GitGuardian $50M Series C Feb 2026, Truffle $25M Series A Nov 2025) while IAM/security majors buy NHI natives (Cisco-Astrix May 2026, SailPoint-Entro June 2026, CrowdStrike-SGNL Feb 2026, Palo Alto-CyberArk Feb 2026, Cyera-Oasis LOI July 2026). Expect fewer standalone NHI vendors by 2027.
- Push protection is now the default expectation: GitHub keeps widening default-blocked patterns (June 2026), GitLab push protection GA on Ultimate, and every commercial scanner ships pre-commit/pre-receive blocking. Buyers should treat push protection as table stakes and differentiate on validation, history remediation and collaboration-tool coverage.
- Generic secret detection via ML is mainstream: GitHub Copilot secret scanning (GA Oct 2024), Cycode ML engine plus Classifier Agent (2026), Snyk contextual ML (GA Aug 2026), Nightfall LLM detectors, and OSS Betterleaks BPE token-efficiency (Mar 2026). Regex-only tools (Gitleaks, detect-secrets, Spectral) are falling behind on password-style secrets.
- AI-agent credential sprawl is the new frontier: GitGuardian AI hooks and agent/MCP inventory (Sept 2026), GitHub MCP Server secret scanning (preview Mar 2026), Nightfall MCP security, Legit VibeGuard/MCP, Doppler and Vault MCP servers for secretless agent access. Controls now need to cover prompt submission, tool-call payloads and per-endpoint agent inventories, not just git.
- Validity-only triage is insufficient: GitGuardian reports 46% of critical secrets would be missed by validation-only prioritisation, pushing vendors toward context (blast radius, ownership, lineage) rather than liveness alone.</t>
  </si>
  <si>
    <t xml:space="preserve">Top 3 recommended contenders</t>
  </si>
  <si>
    <t xml:space="preserve">Tool: GitGuardian
Reasoning: Broadest verified coverage (480+ specific detectors, 19 generic, collaboration tools, containers, endpoints), mature validity/revocation workflows, and the only vendor in this sweep with GA AI-agent hooks plus MCP inventory. Self-hosted option fits regulated clients. Cost and Enterprise-gating are the trade-offs.
Tool: GitHub Secret Protection
Reasoning: For GitHub-standardised clients it delivers push protection, validity checks, AI generic-password detection and MCP-agent scanning at a transparent $19 per active committer with no pipeline changes. Choose it as the primary control when the SCM estate is GitHub and augment with a cross-source scanner for Slack/Jira/containers.
Tool: TruffleHog Enterprise (with Cycode as the ASPM alternative)
Reasoning: Best verification-first engine (800+ verified types), strong Analyze blast-radius features and the widest OSS-compatible source list at lower cost than GitGuardian; lacks ML generic detection, so pair with Betterleaks or GitHub Copilot detection. Cycode is the pick where the client wants ML generic detection inside an ASPM.</t>
  </si>
  <si>
    <t xml:space="preserve">New entrants 2025 2026</t>
  </si>
  <si>
    <t xml:space="preserve">Name: Betterleaks
Status: OSS launched Mar 2026; included above
Url: https://github.com/betterleaks/betterleaks
Name: Cremit
Status: NHI + secrets detection, founded 2023, RSAC 2026 visibility; included above
Url: https://www.cremit.io/
Name: Geordie AI
Status: Founded 2025; RSAC 2026 Innovation Sandbox winner; AI-agent runtime risk engine (prompt and tool-call constraints), not a secrets scanner; adjacent
Url: https://www.geordie.ai/
Name: Defakto (ex-SPIRL)
Status: $30.75M Series B Oct 21, 2025; secretless workload identity (SPIFFE/WIMSE); adjacent to detection
Url: https://www.defakto.security/
Name: Token Security
Status: $20M Series A Jan 2025; NHI and agent intent-based permissioning; adjacent
Url: https://www.token.security/
Name: Clutch Security
Status: $20M Series A 2025; universal NHI platform with identity lineage; adjacent
Url: https://www.clutch.security/
Name: Arrakis Security
Status: Reported $8M seed Aug 2026 for AI-agent identity governance (single aggregator source; unverified, distinct from industrial-AI Arrakis)
Url: unverified
Name: Obsidian Security / Zenity
Status: Aug 2026 rounds ($85M Series D, $125M Series C) for NHI/agent governance in SaaS and low-code; adjacent, not code secrets
Url: https://www.obsidiansecurity.com/
Tool: Gurucul AI Risk and Response
Vendor: Gurucul
Link: https://www.helpnetsecurity.com/2026/09/25/new-infosec-products-of-the-month-september-2026/
Reason: Sept 24, 2026 launch of a behavioral analytics module that ties AI agent activity to identity, access and credential usage; SIEM/UEBA adjacent, not a secrets scanner, so no row.
Tool: Akeyless Agentic Runtime Authority (SecretlessAI)
Vendor: Akeyless
Link: https://www.helpnetsecurity.com/2026/09/25/new-infosec-products-of-the-month-september-2026/
Reason: Sept 9, 2026 (before the window) launch of a runtime identity layer that keeps credentials out of AI agents; secrets-management adjacent rather than detection, noted for the NHI landscape only.
Tool: Orchid Security AI Agent Kill Switches
Vendor: Orchid Security
Link: https://www.helpnetsecurity.com/2026/09/25/new-infosec-products-of-the-month-september-2026/
Reason: Sept 9, 2026 (before the window) identity-drift controls for AI agents abusing hard-coded credentials and orphaned accounts; IAM adjacent, no secrets scanning product page verified.</t>
  </si>
  <si>
    <t xml:space="preserve">Coverage note</t>
  </si>
  <si>
    <t xml:space="preserve">Tool count is 21 to honour the mandatory inclusion list; Doppler and BluBracket are folded into the HCP Vault Radar entry (BluBracket became Vault Radar under HashiCorp in 2023; it was never acquired by Arnica). No 'Gitleaks Enterprise' or 'Gitleaks Cloud' product exists. GigaOm did not publish a secrets-detection-specific Radar found in this sweep; the 2026 GigaOm CIEM Radar and Gartner Peer Insights 'NHI Management &amp; Secrets Security' category are the nearest analyst references. Web search budget was exhausted mid-sweep; remaining verification used direct vendor pages.</t>
  </si>
  <si>
    <t xml:space="preserve">- CISA 2026 SBOM Minimum Elements (final, 30 Jul 2026; co-sealed by NSA, FBI and 15 international agencies) supersede NTIA 2021: adds component hash and algorithm, licence, tool name/version, generation context, SBOM version and author signature; requires full transitive coverage; only SPDX and CycloneDX are accepted (SWID dropped). Draft was published Aug 2025 for comment.
- EU Cyber Resilience Act: reporting obligations for actively exploited vulnerabilities and severe incidents apply from 11 Sep 2026; full obligations (including SBOM in technical documentation) from 11 Dec 2027. Vendors (Cybeats, FOSSA, Sonatype, Black Duck, Mend, Anchore) now ship CRA mappings.
- CycloneDX 1.7 (21 Oct 2025) ratified as ECMA-424 2nd edition (Dec 2025): CBOM crypto families, patents, citations for provenance. Tooling catch-up: cdxgen, CycloneDX CLI and Cybeats support 1.7; Dependency-Track 4.14.4/5.x ingest 1.7; Trivy, Snyk and GitLab still emit 1.5/1.6.
- SPDX 3.0.1 is the current SPDX release with AI and Dataset profiles; ISO/IEC 5962 revision for SPDX 3.0 is at DIS stage (voting closed 9 Jun 2026). Generator support for SPDX 3.x remains thin (Microsoft sbom-tool, cdxgen conversion, Cybeats); spdx-sbom-generator was archived Jan 2025.
- AI BOM standardisation: CycloneDX ML-BOM (1.5+) and SPDX 3.0.1 AI/Dataset profiles both exist, but vendors mostly export proprietary inventories; only cdxgen, Snyk aibom, OWASP AIBOM Generator, ZeroPath and agent-bom were verified to emit CycloneDX. No ratified schema for agents, prompts or MCP servers yet (CycloneDX issue #895 closed; Agent Control Standard from OWASP is a governance spec, not a BOM schema). CISA flagged AI systems as a future minimum-elements area.
- VEX adoption is uneven: CycloneDX VEX is the de facto exchange in Dependency-Track, Sonatype, Cybeats and Black Duck; OpenVEX dominates OSS scanners (Trivy, Grype, GUAC); CSAF VEX remains rare outside device manufacturers. CISA 2026 lists VEX/CSAF integration as a future work area.
- Consolidation in model scanning: Protect AI into Palo Alto Networks Prisma AIRS (completed 22 Jul 2025); Prompt Security into SentinelOne (announced 5 Aug 2025); Aim Security into Cisco AI Defense (announced 2025, completion details unverified). HiddenLayer ($100M Series B), Noma ($100M Series B, Jul 2025), Oligo ($60M, Aug 2026) and AIR ($50M seed, Sep 2026) show continued funding for AI supply chain and agent security.
- Gartner published its inaugural Magic Quadrant for Software Supply Chain Security on 17-18 Jun 2026. Verified Leaders: Black Duck, Checkmarx, Chainguard, Cycode, JFrog, Sonatype. Verified Visionaries: Endor Labs, Lineaje, ReversingLabs. Snyk, Mend, GitHub, GitLab, FOSSA, Anchore, Cybeats positions not confirmed from public sources.
- SBOM management is converging with ASPM and artefact repositories (JFrog AppTrust/Evidence, Sonatype Nexus One), while quality scoring (sbomqs) and supplier intake portals become the differentiators for CRA and FDA use cases.</t>
  </si>
  <si>
    <t xml:space="preserve">Top3 sbom contenders</t>
  </si>
  <si>
    <t xml:space="preserve">Rank: 1
Tool: Sonatype SBOM Manager (Nexus One)
Reasoning: MQ Leader with first- and third-party SBOM lifecycle, CycloneDX VEX workflow, explicit regulatory mapping (CRA, DORA, PCI DSS, SEBI, CERT-In relevant to Indian clients) and AI component/Hugging Face support; fits consulting delivery where clients already run Nexus.
Rank: 2
Tool: JFrog Platform (Xray, AppTrust, AI Catalog)
Reasoning: Highest Ability to Execute in the 2026 MQ; binds SBOMs to signed evidence and the artefact system of record, with ML model registry and MCP registry governance; best when Artifactory is already in place.
Rank: 3
Tool: Black Duck SCA
Reasoning: MQ Leader with the strongest binary/firmware SBOM generation, licence obligation tracking and AI model detection in SBOMs; suits product and embedded clients under CRA/FDA. Cost and admin overhead are the trade-off.</t>
  </si>
  <si>
    <t xml:space="preserve">Top3 aibom contenders</t>
  </si>
  <si>
    <t xml:space="preserve">Rank: 1
Tool: Snyk AI-BOM (snyk aibom)
Reasoning: Only mainstream vendor with a documented, GA, standards-based (CycloneDX 1.6) AI-BOM CLI that maps models, agents, tools and MCP client-server chains, with upload to org inventory.
Rank: 2
Tool: Endor Labs AI Code Governance plus SBOM Hub
Reasoning: Visionary in the 2026 MQ; inventories models (50 risk metrics), coding agents, MCP servers and skills, and ties VEX to reachability; standards export needs confirmation.
Rank: 3
Tool: Palo Alto Prisma AIRS (ex-Protect AI) or HiddenLayer for model file scanning
Reasoning: Neither produces a standards AIBOM, but both cover the gap every AIBOM tool leaves: byte-level malware and backdoor scanning of pickle/PyTorch/TensorFlow/ONNX/safetensors model files with MLOps integration. Choose by existing platform footprint.</t>
  </si>
  <si>
    <t xml:space="preserve">Tool: AIR (air.security)
Note: $50M seed (Sequoia, Greenoaks), Sep 2026; agent skill/MCP vetting
Tool: Noma Security
Note: $100M Series B Jul 2025; AI-SPM agent/MCP discovery
Tool: Oligo Security Runtime AI Security
Note: $60M Aug 2026; runtime model and agent inventory
Tool: agent-bom
Note: OSS agent/MCP BOM scanner, rapid releases 2026
Tool: OWASP AIBOM Generator
Note: moved under OWASP GenAI Security Project; CycloneDX 1.6 AIBOM
Tool: ZeroPath AI-BOM
Note: CycloneDX ML-BOM from repo scanning
Tool: Safeguard.sh
Note: SBOM+AIBOM with agentic remediation; unproven
Tool: Manifest AI Risk module
Note: launched Aug 2025 after $15M Series A Apr 2025
Tool: Snyk AI-BOM
Note: GA in Snyk CLI with MCP detection since Aug 2025
Tool: Wiz AI-BOM (not profiled)
Note: cloud-side AI service inventory; verify separately
Tool: Lineaje UnifAI
Note: AI asset discovery; MQ Visionary Jun 2026
Tool: Cisco AI Defense aibom (open-source CLI)
Vendor: Cisco
Link: https://github.com/cisco-ai-defense/aibom
Reason: Open-source AI-BOM generator CLI announced Feb 2026 (outside window); folded into the existing Cisco AI Defense row via field_changes rather than a new row.</t>
  </si>
  <si>
    <t xml:space="preserve">Recommendation for team</t>
  </si>
  <si>
    <t xml:space="preserve">Standardise on CycloneDX 1.6/1.7 plus ML-BOM as the house format, run Dependency-Track internally, and position Sonatype or JFrog for clients with existing repositories and Black Duck for embedded/CRA clients. For AI BOM, treat Snyk aibom or cdxgen output as the inventory baseline, add a model file scanner (Prisma AIRS/HiddenLayer/ModelScan) and a runtime or agent discovery layer (Noma/Oligo/Endor MCP governance) since no single tool covers models, datasets, prompts, agents and MCP servers with standards output today.</t>
  </si>
  <si>
    <t xml:space="preserve">Verification caveats</t>
  </si>
  <si>
    <t xml:space="preserve">Web search budget in this session was exhausted after roughly 25 queries; remaining verification used direct fetches of vendor docs and project pages. Items marked unverified could not be confirmed against a primary source and should be re-checked before client use. Gartner MQ positions are taken from vendor press releases, not the Gartner report itself.</t>
  </si>
  <si>
    <t xml:space="preserve">- Consolidation: ThreatModeler acquired IriusRisk (announced 2026-01-08/09, terms undisclosed; Invictus majority, Paladin minority) and Security Compass acquired Devici (2025-06-03). Three of the four leading commercial platforms now sit in two vendors.
- AI-generated threat models from code and IaC moved from demo to GA: SecureFlag Threat Canvas code-repo ingestion (Jan 2026, BYO-LLM), Devici Code Genius, ThreatModeler System Mapping Agent, AWS Threat Composer CLI/MCP on Bedrock, STRIDE GPT agentic repo analysis.
- Agentic and MCP-based threat modeling is now standard: MCP servers from ThreatModeler, SD Elements, Devici, Threat Canvas, AWS Labs (two), STRIDE GPT and Tidal; buyers should test them inside Claude Code, Cursor and Copilot rather than only in the vendor UI.
- Shift-left into the IDE and PR: DevArmor, Oplane, Heeler and SD Elements for Agentic AI Workflow (Feb 2026) position threat modeling as guardrails for AI coding agents.
- Threat modeling of AI systems is catalogue-driven: MAESTRO adopted natively by Devici, ThreatModeler and Aribot; OWASP ASI published Top 10 for Agentic Applications 2026 and Agent Control Standard (Sept 2026); OWASP LLM Top 10 2026 released 2026-09-01.
- Secure Code Warrior runs 'Threat Modeling with AI' webinars (Nov 2025) but no acquisition of Threat Canvas could be verified; Threat Canvas remains a SecureFlag product.
- Model-provider lock-in is a procurement issue: IriusRisk Jeff is OpenAI-only with no Azure OpenAI, Seezo is Claude-only, Threat Composer is Bedrock; Threat Canvas and STRIDE GPT are the only surveyed options with true BYO-LLM.</t>
  </si>
  <si>
    <t xml:space="preserve">Tool: ThreatModeler Nexus + IriusRisk
Reasoning: Largest combined library, FedRAMP, live cloud and IaC ingestion, MCP server, MAESTRO and EU AI Act mapping. Risk: post-merger roadmap and pricing. Negotiate consolidation commitments and on-prem AI terms.
Tool: Security Compass SD Elements + Devici
Reasoning: Best evidence base (4.7/5 on 29 Gartner PI reviews), requirements traceability for audits, Devici gives AI diagram generation, MAESTRO and flat enterprise pricing, MCP for coding agents. Risk: two-product integration and SaaS-only Devici.
Tool: SecureFlag Threat Canvas
Reasoning: Most complete AI-native input coverage (text, diagram, IaC, code) with customer-controlled LLM keys and code kept on-premises, Jira/ADO/MCP delivery, free for OWASP members. Risk: smaller vendor and thin review base; verify ownership.</t>
  </si>
  <si>
    <t xml:space="preserve">Best framework for ai system threat modeling</t>
  </si>
  <si>
    <t xml:space="preserve">Use MAESTRO (CSA) to decompose agentic systems into seven layers, OWASP Agentic Security Initiative (Top 10 for Agentic Applications 2026, Agent Control Standard) plus OWASP LLM Top 10 2026 as the threat catalogue, MITRE ATLAS for adversary techniques, and OWASP AI Exchange for controls and ISO/EU AI Act traceability. Microsoft's AI/ML SDL guidance remains useful for classical ML question sets.</t>
  </si>
  <si>
    <t xml:space="preserve">- Seezo (Accel-led seed; Claude-based design reviews; Gartner PI listed)
- DevArmor (continuous threat modeling and PR guardrails for agentic development)
- Oplane (continuous architectural threat modeling from repos, agent/MCP threat focus)
- Prime Security (AI security design reviews; unverified this session)
- AWS Labs threat-modeling-mcp-server and Threat Composer CLI/MCP (2026 releases, Claude Sonnet 4.5 default)
- mcp-stride-gpt hosted MCP server (mcp.stridegpt.ai)
- ThreatModeler Nexus agentic platform and MCP server (2026 rebrand of ThreatModeler)
- SD Elements for Agentic AI Workflow (Feb 2026)
- OWASP Top 10 for Agentic Applications 2026 and Agent Control Standard (Sept 2026)
- Precogly (OWASP Precogly): open-source, self-hosted threat modeling with BYO-LLM suggestions, MCP server and CycloneDX TM-BOM; added 27 Sep 2026 after user flag; https://www.precogly.org/
Tool: Apiiro AI Threat Modeling
Vendor: Apiiro
Link: https://www.helpnetsecurity.com/2026/03/23/apiiro-ai-threat-modeling/
Reason: ASPM vendor launched AI Threat Modeling (design-stage risk from tickets and docs) in March 2026; outside the window and likely covered under ASPM, but not present in the threat modeling inventory.
Tool: SD Elements 2026.9.1 Devici sync (agentic workflow)
Vendor: Security Compass
Link: https://docs.sdelements.com/release/latest/guide/docs/release_notes/
Reason: Released 2026-09-12 (just before the window): /sync-devici-threat-model MCP command exports an Open Threat Model from Devici into an SD Elements project, plus OWASP Top 10 countermeasure skill files for Rust and Go. Flagged for the coordinator in case the prior run missed it.</t>
  </si>
  <si>
    <t xml:space="preserve">Free options summary</t>
  </si>
  <si>
    <t xml:space="preserve">Fully free: Microsoft TMT, OWASP Threat Dragon, pytm, Threagile, STRIDE GPT (plus LLM tokens), Threat Composer (plus Bedrock), CAIRIS, ThreatSpec, Cornucopia/EoP/Cumulus. Free tiers: IriusRisk Community, Devici (3 models/3 users), Tidal Community, Threat Canvas for OWASP members.</t>
  </si>
  <si>
    <t xml:space="preserve">Excluded or unverified</t>
  </si>
  <si>
    <t xml:space="preserve">- Thagomizer: no authoritative product page found; omitted.
- Kaspersky: no threat modeling product identified; interpreted as request for free options (see free_options_summary).
- Secure Code Warrior acquisition of Threat Canvas: unverified; treat as rumour.
- foreseeti/securiCAD corporate status: unverified this session.</t>
  </si>
  <si>
    <t xml:space="preserve">- Secure-by-design mandates: CISA Secure by Design pledge (2024) and EU Cyber Resilience Act obligations (reporting from Sept 2026, full application Dec 2027) push requirement evidence from optional to auditable; SAMM published CRA guidance Feb 2026, SAMMY and Aptori sell CRA tracking.
- ASVS 5.0 (May 2025) is the new baseline; renumbering forces every library and Jira requirement set to be re-mapped. Vendors are uneven in shipping 5.0 content; verify before buying.
- AI-generated requirements moved from experiment to product: Seezo, Prime Security, Remy (design-stage review), IriusRisk Jeff/Bex, ThreatModeler Nexus agents (GA June 2026), Devici agents. Deterministic vendors (SD Elements) position as the policy layer that constrains AI coding agents rather than as LLM generators.
- MCP is the new integration surface: SD Elements MCP (Feb 2026), Devici MCP, IriusRisk MCP, ThreatModeler Nexus MCP, SAMMY MCP connector, community ASVS MCP server (Oct 2025). Requirements are delivered inside Copilot/Cursor/Claude sessions instead of documents.
- Shift from documents to policy-as-code: requirements verified by scanner policies (GitLab MR approval policies, Jit plans, ArmorCode/ASPM SLAs) and by SAST validation of requirements (SD Elements + ZeroPath).
- Consolidation: Invicti acquired Kondukto (Aug 2025); tromzo.com now redirects to Checkmarx (unconfirmed); Security Compass bundles SD Elements with Devici, Kontra, AppSec Modules and adds Agentic AI Workflow as a paid upgrade.
- OWASP Top 10:2025 (Nov 2025) elevates supply chain and exceptional-condition handling; OWASP Secure by Design Framework (v0.5, Aug 2025) and AISVS/AI Exchange extend requirement sources to design and AI.</t>
  </si>
  <si>
    <t xml:space="preserve">Tool: SD Elements (Security Compass)
Reasoning: Only mature system of record for deterministic, audit-ready requirements with 100+ framework mappings, Jira/ADO traceability, SAST validation and an MCP layer for AI agents; federal on-prem editions. Cost from ~$75K/yr and survey overhead are the trade-offs.
Tool: IriusRisk
Reasoning: Best when requirements should derive from an architecture-level threat model; countermeasure libraries cover ASVS/NIST/PCI/ISO, strong Jira/ADO/ServiceNow round-trip, on-prem available, free Community Edition for pilots, Jeff/Bex AI GA.
Tool: ThreatModeler Nexus
Reasoning: Broadest control library (3,500+ requirements, 180+ frameworks) with BYO-AI agents and MCP, GA June 2026; strongest for cloud/OT/product-security clients and FedRAMP-bound work. Requirements remain model-bound and pricing is opaque.</t>
  </si>
  <si>
    <t xml:space="preserve">Best oss free pick</t>
  </si>
  <si>
    <t xml:space="preserve">Tool: Seezo
Note: AI security design review producing requirements; Claude-based; customers Ascot, Razorpay; verified on vendor site.
Tool: Prime Security
Note: AI security architect reviewing tickets/design docs; reported Jan 2025 seed launch; not verified this session.
Tool: Remy Security
Note: AI design-review triage; seed stage; not verified this session.
Tool: ThreatModeler Nexus (June 2026 relaunch)
Note: Existing vendor, new agentic platform with MCP and BYO-AI.
Tool: SD Elements Agentic AI Workflow / MCP (Feb 2026)
Note: Existing vendor, new AI-agent governance offering.
Tool: OWASP Secure by Design Framework (v0.5, Aug 2025)
Note: New incubator project with design review checklist.
Tool: Community OWASP ASVS MCP server (Oct 2025)
Note: Open-source agent grounding for ASVS 5.0.</t>
  </si>
  <si>
    <t xml:space="preserve">Research caveats</t>
  </si>
  <si>
    <t xml:space="preserve">Web search budget was exhausted mid-task; several vendor pages (Jama, IBM, Siemens, Atlassian Marketplace, Xray, Jit pricing, Prime Security, Remy) could not be fetched and are marked unverified. Tool count exceeds the 12-18 target because the brief mandated a longer inclusion list.</t>
  </si>
  <si>
    <t xml:space="preserve">- Platform consolidation: every SAST/SCA incumbent (Checkmarx, Snyk, Veracode, Black Duck, OpenText, HCL, Mend) now sells an ASPM layer, and every pure-play ASPM (Cycode, Apiiro, Legit, OX) has added native scanners. The 'aggregator vs scanner' distinction is collapsing into 'platform with open ingestion'.
- Agentic AppSec is the 2026 headline: named agent families are now standard (Checkmarx One Assist, Snyk Evo, ArmorCode Anya with eight roles, Cycode Maestro, Wiz Green/Red/Blue, Phoenix Purple/Green/Blue, Black Duck Signal, GitLab Duo Security Analyst Agent). Forrester's SAST Wave Q3 2025 explicitly called out AI agents and MCP as differentiators.
- MCP servers from every vendor: verified MCP servers or MCP-based integrations on Checkmarx, Snyk, GitHub, GitLab, Cycode, Legit, Endor Labs, Semgrep, Phoenix, HCL AppScan, JFrog, Sonatype, Orca, Wiz, DryRun; coding-agent targets are Cursor, GitHub Copilot, Claude Code and Windsurf. Governance of the vendors' own MCP servers is now an evaluation criterion (OWASP MCP guide).
- AI-generated code volume drives 'secure at inception' products (Snyk Studio/ADS, Legit VibeGuard, OX VibeSec, Apiiro Guardian Agent, Endor AI Code Governance, Mobb Vibe Shield, Checkmarx Developer Assist) and AI-BOM/AI inventory features (Checkmarx, Apiiro, Black Duck, Mend, JFrog AI Catalog).
- Vendor-neutral autofix (Mobb, Pixee, Amplify) is being squeezed as platforms bundle their own autofix and auto-PR agents; the neutral niche survives mainly in heterogeneous scanner estates and backlog burn-down projects.
- ASPM absorbed into CNAPP: Wiz (Dazz acquisition Nov 2024, Wiz Code, Google acquisition announced Mar 2025), Palo Alto (Prisma Cloud to Cortex Cloud, 2025), CrowdStrike (Bionic to Falcon ASPM; Gartner Peer Insights Customers' Choice Feb 2026; Pangea acquisition announced Sept 2026), Orca and Sysdig all position code-to-cloud correlation as the ASPM. This creates two ASPM camps: CNAPP-anchored (runtime-first) and SDLC-anchored (code-first).
- M&amp;A and private equity: Checkmarx (H&amp;F), Veracode (TA Associates, acquired Longbow 2024 and Phylum 2025), Black Duck (Clearlake/Francisco, carved out Oct 2024), Invicti (Summit; acquired Kondukto 2025), Tromzo now redirecting to Checkmarx (2026, unverified), Jit reportedly acquired by Torq (May 2026, unverified), Cycode acquired Bearer (2024). Expect further pure-play ASPM exits in 2026-2027.
- Analyst landscape: Gartner MQ AST (6 Oct 2025, 16 vendors; Leaders include Checkmarx, Veracode, OpenText, Black Duck; Snyk reported Leader) and the inaugural Gartner MQ Software Supply Chain Security (17 June 2026, 18 vendors; Leaders verified include Black Duck, Checkmarx, Chainguard; OX and Apiiro self-report Leader; JFrog promotes the report). Forrester Wave SAST Q3 2025 evaluated 10 vendors with Checkmarx, Veracode and Snyk verified as Leaders and called the market 'mature'.
- New-entrant funding wave 2025-2026: ZeroPath (RSAC 2026 Innovation Sandbox top 10), Clover Security ($36M, Nov 2025), Corgea (YC), DryRun (Black Hat finalist), Aptori (RSAC 2026 awards), plus Endor Labs ($93M Series B, Apr 2025, reported) and Aikido (Series B 2025, reported) scaling into platform status.</t>
  </si>
  <si>
    <t xml:space="preserve">Consolidate vs best of breed</t>
  </si>
  <si>
    <t xml:space="preserve">Framing: For a consulting delivery team serving multiple clients the question is not one platform for all clients; it is which platform(s) the firm standardises on for its own accelerators, and which neutral layer lets the team operate whatever the client already owns.
Arguments for consolidation: - Single data model, one policy engine and one agent family cut integration and training cost per engagement; Checkmarx One, Snyk and GitLab Ultimate now cover 80-90% of module needs natively.
- Autofix and agentic remediation work best when the fixer sees the scanner's own dataflow; cross-vendor autofix is weaker.
- Commercial leverage: bundles from Checkmarx, Snyk, Veracode and Black Duck typically discount 25-40% vs buying modules separately (market anecdotes, unverified).
- Analyst momentum and client procurement favour vendors present in both the AST and SSCS Magic Quadrants.
Arguments for best of breed plus aspm: - Client estates are heterogeneous: GitHub/GitLab-native scanning, legacy Fortify, Wiz/Prisma cloud findings, pentest output. A neutral ASPM (ArmorCode, Phoenix, DefectDojo) is the only way to deliver one risk view across clients without forcing scanner replacement.
- Module maturity variance inside every platform (DAST and API weak at Checkmarx/Snyk; SAST weak at Wiz/Cortex/Aikido; ASPM ingestion weak at OpenText/HCL) means best-in-class still wins on specific modules.
- Lock-in and PE ownership risk: five of the big-six AST vendors are PE-owned; a neutral layer preserves exit options.
- Regulated and air-gapped clients need Black Duck, HCL, OpenText, GitLab self-managed or DefectDojo; SaaS-only platforms (Snyk, Cycode, Legit, Wiz) are disqualified for them.
Recommendation: Hybrid: standardise the firm's own accelerators on one or two scanner platforms (see contenders) and on a vendor-neutral ASPM/aggregation layer that ingests any client scanner. Keep a benchmarked best-of-breed bench (Semgrep for custom rules, Endor Labs for SCA reachability, Escape for API DAST, Mobb for neutral autofix) for client-specific gaps. Run AI SAST new entrants (ZeroPath, DryRun, Corgea) as second-opinion pilots, not as system of record.</t>
  </si>
  <si>
    <t xml:space="preserve">Top 3 platform contenders</t>
  </si>
  <si>
    <t xml:space="preserve">Rank: 1
Tool: Checkmarx One
Reasoning: Only vendor verified this session as Leader in Gartner MQ AST (Oct 2025), Gartner MQ SSCS (June 2026) and Forrester SAST Wave (Q3 2025); complete native module set plus ASPM; shipped agent family, MCP, AI supply chain (AI-BOM, LLM scanner) and FedRAMP Moderate in 2026; fits large-enterprise and public-sector clients. Watch: premium pricing, SaaS-first for the full platform, PE exit risk.
Rank: 2
Tool: Snyk AI Security Platform (Evo / AppRisk / Studio)
Reasoning: Fastest agentic roadmap (Evo, ADS, AI-SPM, Continuous Offensive Security all GA by Aug 2026), strongest developer and coding-agent integration, Forrester Leader; best for cloud-native and AI-heavy engineering clients. Watch: SaaS-only, AppRisk weaker on mixed-vendor ingestion, pricing growth with developer counts.
Rank: 3
Tool: ArmorCode (neutral ASPM) paired with GitLab Ultimate or GitHub Advanced Security as the scanner substrate
Reasoning: For a multi-client consulting team the neutral correlation layer is the strategic asset: ArmorCode's 400+ integrations and Anya agents deliver one risk view over any client's scanners, while GitLab Ultimate (self-managed, air-gap, on-prem AI via self-hosted models) or GHAS ($49/committer/month, high pricing confidence) provide low-friction native scanning. Alternatives with the same shape: Phoenix Security (cheaper, ownership attribution) or Veracode Risk Manager (if the client is already Veracode). Black Duck Polaris + Software Risk Manager is the substitute for air-gapped/SBOM-heavy clients.</t>
  </si>
  <si>
    <t xml:space="preserve">Tool: ZeroPath
Note: AI-native SAST/autofix; RSAC 2026 Innovation Sandbox top 10; curl and Fortune 500 users
Url: https://zeropath.com/
Tool: Corgea
Note: YC-backed AI SAST (BLAST) with autofix, SCA, IaC, containers
Url: https://corgea.com/
Tool: DryRun Security
Note: Contextual Security Analysis PR reviewer; MCP for Claude/Cursor/Codex; Black Hat finalist
Url: https://dryrun.security/
Tool: Aptori
Note: Autonomous AppSec with red/blue/purple agents; air-gap deployable; RSAC 2026 awards
Url: https://aptori.com/
Tool: Clover Security
Note: Design-time security; reported $36M funding Nov 2025 (unverified)
Url: https://www.cloversecurity.com/
Tool: Nullify
Note: AI security engineer teammate (unverified this session)
Url: https://www.nullify.ai/
Tool: Gomboc AI
Note: Deterministic IaC remediation (unverified this session)
Url: https://gomboc.ai/
Tool: Amplify Security
Note: Agentic autofix in developer workflow (unverified this session)
Url: https://www.amplify.security/
Tool: Pi Security
Note: Root-cause and variant analysis for remediation (per AppSec Santa 2026 list; unverified)
Url: https://appsecsanta.com/aspm-tools
Tool: Arnica
Note: Developer-first posture for AI-generated code; freemium; on-prem at Enterprise tier (per AppSec Santa; unverified)
Url: https://appsecsanta.com/aspm-tools
Tool: Endor Labs and Aikido (scale-ups)
Note: Not new, but 2025 funding rounds moved both from point tools to platform contenders
Url: https://www.endorlabs.com/
Tool: Gartner Emerging Market Quadrant for AI Application Security (2026)
Vendor: Gartner
Link: https://www.globenewswire.com/news-release/2026/09/21/3365510/0/en/varonis-recognized-as-a-pace-setter-in-the-gartner-emerging-market-quadrant-for-ai-application-security-established-vendors.html
Reason: New Gartner report published around Sept 21, 2026 with Established Vendors and Startup Vendors editions (Varonis named Pace Setter; PointGuard AI named Pioneer in the startup edition). Covers AI application security rather than ASPM; worth checking whether any tracked platform vendors were placed.
Tool: Pillar Security
Vendor: Pillar Security
Link: https://www.pillar.security/blog/pillar-security-named-as-a-2026-gartner-r-cool-vendor-in-ai-software-security
Reason: Named a 2026 Gartner Cool Vendor in AI Software Security; date not confirmed within the window and the product is AI security rather than an AppSec platform or ASPM.
Tool: Pulse Security
Vendor: Pulse Security
Link: https://pulse2.com/pulse-security-raises-8-million-seed-funding-and-launches-ai-platform-for-cisos/
Reason: $8M seed and launch of an AI platform for CISOs surfaced in a September 2026 funding search; date and AppSec relevance not verified.</t>
  </si>
  <si>
    <t xml:space="preserve">- Non-Leader quadrant placements in the Gartner MQ AST 2025 and MQ SSCS 2026, and non-Leader tiers of the Forrester SAST Wave Q3 2025, were not retrievable this session; only vendor-announced Leader positions are asserted.
- GigaOm Radar for ASPM 2025/2026 placements could not be retrieved; entries are marked unverified.
- Vendor page fetches for Escape, Mobb, Pixee, Nullify, Gomboc, Amplify, Clover, DefectDojo.com and the RSAC Innovation Sandbox list were blocked or failed; those entries rely on secondary sources and are flagged.
- Acquisitions flagged unverified: Torq/Jit (May 2026), Checkmarx/Tromzo (redirect observed), Google/Wiz closing date.</t>
  </si>
  <si>
    <t xml:space="preserve">Research method, sources and caveats</t>
  </si>
  <si>
    <t xml:space="preserve">Method</t>
  </si>
  <si>
    <t xml:space="preserve">Seven parallel research streams (one per category), each run against vendor documentation, release notes, press releases, analyst press coverage (Gartner MQ AST Oct 2025, Gartner MQ Software Supply Chain Security Jun 2026, Forrester SAST Wave Q3 2025, Forrester SCA Wave Q4 2024), OWASP project pages and GitHub repositories, plus a dedicated 2025-2026 new-entrant sweep per category. Incumbents (Checkmarx, Veracode, Fortify, HCL, Black Duck, Snyk, GitHub, GitLab, Sonatype, JFrog, Mend) were back-filled on every tab they play in, including where they have no dedicated product, so AI capabilities can be compared like for like.</t>
  </si>
  <si>
    <t xml:space="preserve">What "unverified" means</t>
  </si>
  <si>
    <t xml:space="preserve">The research could not reach a primary source in-session (some vendor pages are JavaScript-rendered or blocked to automated fetch; the web-search budget ran out in some streams). The cell says so rather than guessing. Analyst placements below Leader tier are mostly unverified because Gartner and Forrester gate the full reports.</t>
  </si>
  <si>
    <t xml:space="preserve">Pricing</t>
  </si>
  <si>
    <t xml:space="preserve">Only vendor-published list prices carry High confidence (GitHub Code Security $30 and Secret Protection $19 per active committer per month; Snyk Team $25 per dev per month; Semgrep $15 per contributor; Aikido $0/$300/$600 per month tiers; SonarQube Cloud Team from $34 per month; SD Elements Enterprise from $75K per year; DefectDojo Pro from $100 per month; ZeroPath $1,000 per month plus $60 per dev). Vendr medians for Checkmarx, Veracode and Semgrep are Medium. Everything else is quote-only.</t>
  </si>
  <si>
    <t xml:space="preserve">AI accuracy claims</t>
  </si>
  <si>
    <t xml:space="preserve">All accuracy or noise-reduction percentages are vendor-reported and not independently benchmarked. Treat them as marketing until reproduced on the team's own corpus.</t>
  </si>
  <si>
    <t xml:space="preserve">Freshness</t>
  </si>
  <si>
    <t xml:space="preserve">AI features in this market change monthly. Every row carries a last-verified date. Re-verify before any external use, and re-run the new-entrant sweep quarterly.</t>
  </si>
  <si>
    <t xml:space="preserve">Caveats recorded per research stream</t>
  </si>
  <si>
    <t xml:space="preserve">Caveat / unverified item</t>
  </si>
  <si>
    <t xml:space="preserve">Gartner MQ SSCS 2026 positions for Snyk, Mend, Socket, Aikido, Xygeni, Veracode, Arnica quadrant (recognised but position not stated), FOSSA</t>
  </si>
  <si>
    <t xml:space="preserve">Gartner MQ AST 2025 positions for GitHub, GitLab, Mend, Endor Labs, Semgrep, Aikido</t>
  </si>
  <si>
    <t xml:space="preserve">All enterprise indicative_cost_usd values marked Low/None confidence; only list prices for Snyk Team, Socket, Aikido, Semgrep, FOSSA, Arnica, Xygeni, GitHub are vendor-published</t>
  </si>
  <si>
    <t xml:space="preserve">OSV-Scanner v2.6.0 release date parsed as Sept 2026 from GitHub; verify exact date</t>
  </si>
  <si>
    <t xml:space="preserve">Model providers for most vendors' AI features are not disclosed</t>
  </si>
  <si>
    <t xml:space="preserve">Scantist ecosystem coverage and Lineaje on-prem support taken from vendor marketing</t>
  </si>
  <si>
    <t xml:space="preserve">HCL AppScan SCA ecosystem list and SBOM/licence features not verified (help pages 404); OpenText Fortify SCA transition from Sonatype OEM to Debricked engine for legacy on-prem Fortify customers unverified; Veracode Fix coverage of SCA findings unverified</t>
  </si>
  <si>
    <t xml:space="preserve">Thagomizer: no authoritative product page found; omitted.</t>
  </si>
  <si>
    <t xml:space="preserve">Kaspersky: no threat modeling product identified; interpreted as request for free options (see free_options_summary).</t>
  </si>
  <si>
    <t xml:space="preserve">Secure Code Warrior acquisition of Threat Canvas: unverified; treat as rumour.</t>
  </si>
  <si>
    <t xml:space="preserve">foreseeti/securiCAD corporate status: unverified this session.</t>
  </si>
  <si>
    <t xml:space="preserve">Non-Leader quadrant placements in the Gartner MQ AST 2025 and MQ SSCS 2026, and non-Leader tiers of the Forrester SAST Wave Q3 2025, were not retrievable this session; only vendor-announced Leader positions are asserted.</t>
  </si>
  <si>
    <t xml:space="preserve">GigaOm Radar for ASPM 2025/2026 placements could not be retrieved; entries are marked unverified.</t>
  </si>
  <si>
    <t xml:space="preserve">Vendor page fetches for Escape, Mobb, Pixee, Nullify, Gomboc, Amplify, Clover, DefectDojo.com and the RSAC Innovation Sandbox list were blocked or failed; those entries rely on secondary sources and are flagged.</t>
  </si>
  <si>
    <t xml:space="preserve">Acquisitions flagged unverified: Torq/Jit (May 2026), Checkmarx/Tromzo (redirect observed), Google/Wiz closing date.</t>
  </si>
</sst>
</file>

<file path=xl/styles.xml><?xml version="1.0" encoding="utf-8"?>
<styleSheet xmlns="http://schemas.openxmlformats.org/spreadsheetml/2006/main">
  <numFmts count="4">
    <numFmt numFmtId="164" formatCode="General"/>
    <numFmt numFmtId="165" formatCode="General"/>
    <numFmt numFmtId="166" formatCode="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595959"/>
      <name val="Arial"/>
      <family val="0"/>
      <charset val="1"/>
    </font>
    <font>
      <b val="true"/>
      <sz val="9"/>
      <name val="Arial"/>
      <family val="0"/>
      <charset val="1"/>
    </font>
    <font>
      <sz val="9"/>
      <name val="Arial"/>
      <family val="0"/>
      <charset val="1"/>
    </font>
    <font>
      <b val="true"/>
      <sz val="12"/>
      <color rgb="FF1F2A44"/>
      <name val="Arial"/>
      <family val="0"/>
      <charset val="1"/>
    </font>
    <font>
      <b val="true"/>
      <sz val="10"/>
      <color rgb="FFFFFFFF"/>
      <name val="Arial"/>
      <family val="0"/>
      <charset val="1"/>
    </font>
    <font>
      <sz val="9"/>
      <color rgb="FF0000FF"/>
      <name val="Arial"/>
      <family val="0"/>
      <charset val="1"/>
    </font>
    <font>
      <u val="single"/>
      <sz val="9"/>
      <color rgb="FF0563C1"/>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FF2CC"/>
        <bgColor rgb="FFFFEB9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7E6E6"/>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F2CC"/>
          <bgColor rgb="FF000000"/>
        </patternFill>
      </fill>
    </dxf>
    <dxf>
      <fill>
        <patternFill patternType="solid">
          <fgColor rgb="FF0000FF"/>
          <bgColor rgb="FF000000"/>
        </patternFill>
      </fill>
    </dxf>
    <dxf>
      <fill>
        <patternFill>
          <bgColor rgb="FFC6EFCE"/>
        </patternFill>
      </fill>
    </dxf>
    <dxf>
      <fill>
        <patternFill>
          <bgColor rgb="FFFFEB9C"/>
        </patternFill>
      </fill>
    </dxf>
    <dxf>
      <fill>
        <patternFill>
          <bgColor rgb="FFFFC7CE"/>
        </patternFill>
      </fill>
    </dxf>
    <dxf>
      <fill>
        <patternFill>
          <bgColor rgb="FFE7E6E6"/>
        </patternFill>
      </fill>
    </dxf>
    <dxf>
      <fill>
        <patternFill patternType="solid">
          <fgColor rgb="FF0563C1"/>
          <bgColor rgb="FF000000"/>
        </patternFill>
      </fill>
    </dxf>
    <dxf>
      <fill>
        <patternFill patternType="solid">
          <fgColor rgb="FFFFE600"/>
          <bgColor rgb="FF000000"/>
        </patternFill>
      </fill>
    </dxf>
    <dxf>
      <fill>
        <patternFill>
          <bgColor rgb="FFFFE600"/>
        </patternFill>
      </fill>
    </dxf>
  </dxfs>
  <colors>
    <indexedColors>
      <rgbColor rgb="FF000000"/>
      <rgbColor rgb="FFFFFFFF"/>
      <rgbColor rgb="FFFF0000"/>
      <rgbColor rgb="FF00FF00"/>
      <rgbColor rgb="FF0000FF"/>
      <rgbColor rgb="FFFFE6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E7E6E6"/>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aikido.dev/features/autofix" TargetMode="External"/><Relationship Id="rId2" Type="http://schemas.openxmlformats.org/officeDocument/2006/relationships/hyperlink" Target="https://amplify.security/" TargetMode="External"/><Relationship Id="rId3" Type="http://schemas.openxmlformats.org/officeDocument/2006/relationships/hyperlink" Target="https://www.arnica.io/" TargetMode="External"/><Relationship Id="rId4" Type="http://schemas.openxmlformats.org/officeDocument/2006/relationships/hyperlink" Target="https://www.itsecurityguru.org/2026/07/14/black-duck-adds-ai-powered-triage-and-cra-ready-checks-to-coverity-static-analysis/" TargetMode="External"/><Relationship Id="rId5" Type="http://schemas.openxmlformats.org/officeDocument/2006/relationships/hyperlink" Target="https://www.globenewswire.com/news-release/2026/03/16/3256259/0/en/Checkmarx-Redefines-Application-Security-for-the-Age-of-Agentic-Development.html" TargetMode="External"/><Relationship Id="rId6" Type="http://schemas.openxmlformats.org/officeDocument/2006/relationships/hyperlink" Target="https://www.coderabbit.ai/security" TargetMode="External"/><Relationship Id="rId7" Type="http://schemas.openxmlformats.org/officeDocument/2006/relationships/hyperlink" Target="https://docs.contrastsecurity.com/en/contrast-ai-smartfix.html" TargetMode="External"/><Relationship Id="rId8" Type="http://schemas.openxmlformats.org/officeDocument/2006/relationships/hyperlink" Target="https://corgea.com/auto-triage" TargetMode="External"/><Relationship Id="rId9" Type="http://schemas.openxmlformats.org/officeDocument/2006/relationships/hyperlink" Target="https://cursor.com/changelog" TargetMode="External"/><Relationship Id="rId10" Type="http://schemas.openxmlformats.org/officeDocument/2006/relationships/hyperlink" Target="https://www.dryrun.security/product/sast" TargetMode="External"/><Relationship Id="rId11" Type="http://schemas.openxmlformats.org/officeDocument/2006/relationships/hyperlink" Target="https://www.prnewswire.com/news-releases/endor-labs-debuts-ai-native-multi-modal-sast-marking-a-new-era-in-code-flaw-detection-302619629.html" TargetMode="External"/><Relationship Id="rId12" Type="http://schemas.openxmlformats.org/officeDocument/2006/relationships/hyperlink" Target="https://github.blog/changelog/2026-10-15-agentic-autofix-for-code-scanning-alerts-general-availability" TargetMode="External"/><Relationship Id="rId13" Type="http://schemas.openxmlformats.org/officeDocument/2006/relationships/hyperlink" Target="https://www.greptile.com/content-library/best-security-code-review-tools" TargetMode="External"/><Relationship Id="rId14" Type="http://schemas.openxmlformats.org/officeDocument/2006/relationships/hyperlink" Target="https://www.hcl-software.com/appscan/products/rapidfix" TargetMode="External"/><Relationship Id="rId15" Type="http://schemas.openxmlformats.org/officeDocument/2006/relationships/hyperlink" Target="https://www.jit.io/" TargetMode="External"/><Relationship Id="rId16" Type="http://schemas.openxmlformats.org/officeDocument/2006/relationships/hyperlink" Target="https://www.kodemsecurity.com/platform/sast" TargetMode="External"/><Relationship Id="rId17" Type="http://schemas.openxmlformats.org/officeDocument/2006/relationships/hyperlink" Target="https://www.mobb.ai/" TargetMode="External"/><Relationship Id="rId18" Type="http://schemas.openxmlformats.org/officeDocument/2006/relationships/hyperlink" Target="https://www.nullify.ai/" TargetMode="External"/><Relationship Id="rId19" Type="http://schemas.openxmlformats.org/officeDocument/2006/relationships/hyperlink" Target="https://blogs.opentext.com/opentext-fortify-remediation-aviator-audit-every-finding-fix-whats-real/" TargetMode="External"/><Relationship Id="rId20" Type="http://schemas.openxmlformats.org/officeDocument/2006/relationships/hyperlink" Target="https://www.pixee.ai/blog/veracode-alternatives" TargetMode="External"/><Relationship Id="rId21" Type="http://schemas.openxmlformats.org/officeDocument/2006/relationships/hyperlink" Target="https://docs.snyk.io/scan-fix-and-prevent/scan-with-snyk/snyk-code/manage-code-vulnerabilities/fix-code-vulnerabilities-automatically" TargetMode="External"/><Relationship Id="rId22" Type="http://schemas.openxmlformats.org/officeDocument/2006/relationships/hyperlink" Target="https://www.helpnetsecurity.com/2026/03/18/veracode-fix-for-sca/" TargetMode="External"/><Relationship Id="rId23" Type="http://schemas.openxmlformats.org/officeDocument/2006/relationships/hyperlink" Target="https://zeropath.com/products/sast" TargetMode="External"/><Relationship Id="rId24" Type="http://schemas.openxmlformats.org/officeDocument/2006/relationships/hyperlink" Target="https://github.com/PyCQA/bandit" TargetMode="External"/><Relationship Id="rId25" Type="http://schemas.openxmlformats.org/officeDocument/2006/relationships/hyperlink" Target="https://www.prnewswire.com/news-releases/cycode-releases-agentic-code-scanning-and-attack-chaining-post-mythos-eras-answer-to-cost-vs-precision-tradeoff-302866093.html" TargetMode="External"/><Relationship Id="rId26" Type="http://schemas.openxmlformats.org/officeDocument/2006/relationships/hyperlink" Target="https://brakemanscanner.org/" TargetMode="External"/><Relationship Id="rId27" Type="http://schemas.openxmlformats.org/officeDocument/2006/relationships/hyperlink" Target="https://docs.gitlab.com/user/application_security/sast/gitlab_advanced_sast/" TargetMode="External"/><Relationship Id="rId28" Type="http://schemas.openxmlformats.org/officeDocument/2006/relationships/hyperlink" Target="https://github.com/securego/gosec" TargetMode="External"/><Relationship Id="rId29" Type="http://schemas.openxmlformats.org/officeDocument/2006/relationships/hyperlink" Target="https://www.opengrep.dev/" TargetMode="External"/><Relationship Id="rId30" Type="http://schemas.openxmlformats.org/officeDocument/2006/relationships/hyperlink" Target="https://github.com/pmd/pmd/releases" TargetMode="External"/><Relationship Id="rId31" Type="http://schemas.openxmlformats.org/officeDocument/2006/relationships/hyperlink" Target="https://semgrep.dev/blog/2025/announcing-ai-noise-filtering-and-triage-memories/" TargetMode="External"/><Relationship Id="rId32" Type="http://schemas.openxmlformats.org/officeDocument/2006/relationships/hyperlink" Target="https://www.sonarsource.com/company/press-releases/sonarqube-server-2026-5-lta-release/" TargetMode="External"/><Relationship Id="rId33" Type="http://schemas.openxmlformats.org/officeDocument/2006/relationships/hyperlink" Target="https://find-sec-bugs.github.io/" TargetMode="External"/><Relationship Id="rId34" Type="http://schemas.openxmlformats.org/officeDocument/2006/relationships/hyperlink" Target="https://www.aikido.dev/pricing" TargetMode="External"/><Relationship Id="rId35" Type="http://schemas.openxmlformats.org/officeDocument/2006/relationships/hyperlink" Target="https://techcrunch.com/2026/09/01/air-raises-50m-to-help-companies-vet-the-skills-and-add-ons-ai-agents-use/" TargetMode="External"/><Relationship Id="rId36" Type="http://schemas.openxmlformats.org/officeDocument/2006/relationships/hyperlink" Target="https://www.arnica.io/blog/reachable-open-source-risk-prioritization" TargetMode="External"/><Relationship Id="rId37" Type="http://schemas.openxmlformats.org/officeDocument/2006/relationships/hyperlink" Target="https://www.nasdaq.com/press-release/black-duck-sca-introduces-ai-model-risk-scanning-enhanced-software-security-insights" TargetMode="External"/><Relationship Id="rId38" Type="http://schemas.openxmlformats.org/officeDocument/2006/relationships/hyperlink" Target="https://www.chainguard.dev/unchained/chainguard-is-named-a-leader-in-the-2026-gartner-magic-quadrant-for-software-supply-chain-security" TargetMode="External"/><Relationship Id="rId39" Type="http://schemas.openxmlformats.org/officeDocument/2006/relationships/hyperlink" Target="https://checkmarx.com/checkmarx-one-developer-assist/" TargetMode="External"/><Relationship Id="rId40" Type="http://schemas.openxmlformats.org/officeDocument/2006/relationships/hyperlink" Target="https://cycode.com/blog/bulk-ai-exploitability-analysis/" TargetMode="External"/><Relationship Id="rId41" Type="http://schemas.openxmlformats.org/officeDocument/2006/relationships/hyperlink" Target="https://siliconangle.com/2026/08/27/vulnerability-free-container-image-startup-echo-acquires-minimus/" TargetMode="External"/><Relationship Id="rId42" Type="http://schemas.openxmlformats.org/officeDocument/2006/relationships/hyperlink" Target="https://www.endorlabs.com/learn/endor-labs-is-a-visionary-in-the-2026-gartner-r-magic-quadrant-tm-for-software-supply-chain-security" TargetMode="External"/><Relationship Id="rId43" Type="http://schemas.openxmlformats.org/officeDocument/2006/relationships/hyperlink" Target="https://fossa.com/pricing/" TargetMode="External"/><Relationship Id="rId44" Type="http://schemas.openxmlformats.org/officeDocument/2006/relationships/hyperlink" Target="https://github.com/resources/insights/evolving-github-advanced-security" TargetMode="External"/><Relationship Id="rId45" Type="http://schemas.openxmlformats.org/officeDocument/2006/relationships/hyperlink" Target="https://www.hcl-software.com/appscan" TargetMode="External"/><Relationship Id="rId46" Type="http://schemas.openxmlformats.org/officeDocument/2006/relationships/hyperlink" Target="https://jfrog.com/press-room/jfrog-embeds-security-into-the-agentic-workforce/" TargetMode="External"/><Relationship Id="rId47" Type="http://schemas.openxmlformats.org/officeDocument/2006/relationships/hyperlink" Target="https://konvu.com/blog/from-vulnerability-finding-to-exploit-proof" TargetMode="External"/><Relationship Id="rId48" Type="http://schemas.openxmlformats.org/officeDocument/2006/relationships/hyperlink" Target="https://www.aol.com/articles/lineaje-recognized-visionary-2026-gartner-154300000.html" TargetMode="External"/><Relationship Id="rId49" Type="http://schemas.openxmlformats.org/officeDocument/2006/relationships/hyperlink" Target="https://docs.mend.io/platform/latest/mend-platform-release-notes" TargetMode="External"/><Relationship Id="rId50" Type="http://schemas.openxmlformats.org/officeDocument/2006/relationships/hyperlink" Target="https://www.merito.com/vendors/opentext/core-open-source-select" TargetMode="External"/><Relationship Id="rId51" Type="http://schemas.openxmlformats.org/officeDocument/2006/relationships/hyperlink" Target="https://www.veracode.com/blog/introducing-veracode-package-firewall/" TargetMode="External"/><Relationship Id="rId52" Type="http://schemas.openxmlformats.org/officeDocument/2006/relationships/hyperlink" Target="https://scantist.com/pricing" TargetMode="External"/><Relationship Id="rId53" Type="http://schemas.openxmlformats.org/officeDocument/2006/relationships/hyperlink" Target="https://semgrep.dev/docs/release-notes/march-2026" TargetMode="External"/><Relationship Id="rId54" Type="http://schemas.openxmlformats.org/officeDocument/2006/relationships/hyperlink" Target="https://docs.snyk.io/whats-new" TargetMode="External"/><Relationship Id="rId55" Type="http://schemas.openxmlformats.org/officeDocument/2006/relationships/hyperlink" Target="https://socket.dev/pricing" TargetMode="External"/><Relationship Id="rId56" Type="http://schemas.openxmlformats.org/officeDocument/2006/relationships/hyperlink" Target="https://www.infoq.com/news/2026/03/sonatype-guide-safety-mcp-server" TargetMode="External"/><Relationship Id="rId57" Type="http://schemas.openxmlformats.org/officeDocument/2006/relationships/hyperlink" Target="https://www.veracode.com/products/veracode-package-firewall/" TargetMode="External"/><Relationship Id="rId58" Type="http://schemas.openxmlformats.org/officeDocument/2006/relationships/hyperlink" Target="https://www.capterra.co.uk/software/1043740/xygeni" TargetMode="External"/><Relationship Id="rId59" Type="http://schemas.openxmlformats.org/officeDocument/2006/relationships/hyperlink" Target="https://about.gitlab.com/direction/supply-chain/" TargetMode="External"/><Relationship Id="rId60" Type="http://schemas.openxmlformats.org/officeDocument/2006/relationships/hyperlink" Target="https://blog.google/security/announcing-osv-scanner-v2-vulnerability/" TargetMode="External"/><Relationship Id="rId61" Type="http://schemas.openxmlformats.org/officeDocument/2006/relationships/hyperlink" Target="https://github.com/anchore/grype/releases" TargetMode="External"/><Relationship Id="rId62" Type="http://schemas.openxmlformats.org/officeDocument/2006/relationships/hyperlink" Target="https://www.businesswire.com/news/home/20250617157201/en/Introducing-Kusari-Inspector-Empowering-Developers-with-Real-Time-Software-Security-Insights-in-Every-Pull-Request" TargetMode="External"/><Relationship Id="rId63" Type="http://schemas.openxmlformats.org/officeDocument/2006/relationships/hyperlink" Target="https://github.com/dependency-check/DependencyCheck" TargetMode="External"/><Relationship Id="rId64" Type="http://schemas.openxmlformats.org/officeDocument/2006/relationships/hyperlink" Target="https://dependencytrack.org/news/dependency-track-5-0/" TargetMode="External"/><Relationship Id="rId65" Type="http://schemas.openxmlformats.org/officeDocument/2006/relationships/hyperlink" Target="https://safedep.io/" TargetMode="External"/><Relationship Id="rId66" Type="http://schemas.openxmlformats.org/officeDocument/2006/relationships/hyperlink" Target="https://github.com/aquasecurity/trivy-mcp" TargetMode="External"/><Relationship Id="rId67" Type="http://schemas.openxmlformats.org/officeDocument/2006/relationships/hyperlink" Target="https://www.aikido.dev/features/autofix" TargetMode="External"/><Relationship Id="rId68" Type="http://schemas.openxmlformats.org/officeDocument/2006/relationships/hyperlink" Target="https://awards.thehackernews.com/winners/2026/arnica-agentic-code-security/" TargetMode="External"/><Relationship Id="rId69" Type="http://schemas.openxmlformats.org/officeDocument/2006/relationships/hyperlink" Target="https://www.blackduck.com/blog/polaris-ai-security-updates-april-2026.html" TargetMode="External"/><Relationship Id="rId70" Type="http://schemas.openxmlformats.org/officeDocument/2006/relationships/hyperlink" Target="https://checkmarx.com/product/secrets-detection/" TargetMode="External"/><Relationship Id="rId71" Type="http://schemas.openxmlformats.org/officeDocument/2006/relationships/hyperlink" Target="https://www.cremit.io/product" TargetMode="External"/><Relationship Id="rId72"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73" Type="http://schemas.openxmlformats.org/officeDocument/2006/relationships/hyperlink" Target="https://www.sailpoint.com/press-releases/sailpoint-announces-intent-to-acquire-entro-security" TargetMode="External"/><Relationship Id="rId74" Type="http://schemas.openxmlformats.org/officeDocument/2006/relationships/hyperlink" Target="https://docs.gitguardian.com/releases/saas/2026/09/07/changelog" TargetMode="External"/><Relationship Id="rId75" Type="http://schemas.openxmlformats.org/officeDocument/2006/relationships/hyperlink" Target="https://github.blog/changelog/2026-10-07-purpose-built-model-for-leaked-secret-detection/" TargetMode="External"/><Relationship Id="rId76" Type="http://schemas.openxmlformats.org/officeDocument/2006/relationships/hyperlink" Target="https://www.hcl-software.com/blog/appscan/hcl-appscan-360-v2.1-ai-application-security-with-faster-testing-and-automated-fixes" TargetMode="External"/><Relationship Id="rId77" Type="http://schemas.openxmlformats.org/officeDocument/2006/relationships/hyperlink" Target="https://www.hashicorp.com/en/blog/hcp-vault-radar-agent-local-secret-scanning-at-enterprise-scale" TargetMode="External"/><Relationship Id="rId78" Type="http://schemas.openxmlformats.org/officeDocument/2006/relationships/hyperlink" Target="https://www.jit.io/resources/jit-security/introducing-jits-agentic-appsec-platform-that-gets-real-work-done" TargetMode="External"/><Relationship Id="rId79" Type="http://schemas.openxmlformats.org/officeDocument/2006/relationships/hyperlink" Target="https://www.legitsecurity.com/" TargetMode="External"/><Relationship Id="rId80" Type="http://schemas.openxmlformats.org/officeDocument/2006/relationships/hyperlink" Target="https://www.nightfall.ai/products/mcp-security" TargetMode="External"/><Relationship Id="rId81" Type="http://schemas.openxmlformats.org/officeDocument/2006/relationships/hyperlink" Target="https://blogs.opentext.com/opentext-fortify-remediation-aviator-audit-every-finding-fix-whats-real/" TargetMode="External"/><Relationship Id="rId82" Type="http://schemas.openxmlformats.org/officeDocument/2006/relationships/hyperlink" Target="https://semgrep.dev/pricing/" TargetMode="External"/><Relationship Id="rId83" Type="http://schemas.openxmlformats.org/officeDocument/2006/relationships/hyperlink" Target="https://snyk.io/blog/snyk-secrets/" TargetMode="External"/><Relationship Id="rId84" Type="http://schemas.openxmlformats.org/officeDocument/2006/relationships/hyperlink" Target="https://appsecsanta.com/spectralops" TargetMode="External"/><Relationship Id="rId85" Type="http://schemas.openxmlformats.org/officeDocument/2006/relationships/hyperlink" Target="https://docs.veracode.com/updates/r/c_all_static" TargetMode="External"/><Relationship Id="rId86" Type="http://schemas.openxmlformats.org/officeDocument/2006/relationships/hyperlink" Target="https://www.helpnetsecurity.com/2026/03/19/betterleaks-open-source-secrets-scanner/" TargetMode="External"/><Relationship Id="rId87" Type="http://schemas.openxmlformats.org/officeDocument/2006/relationships/hyperlink" Target="https://github.com/Yelp/detect-secrets" TargetMode="External"/><Relationship Id="rId88" Type="http://schemas.openxmlformats.org/officeDocument/2006/relationships/hyperlink" Target="https://docs.gitguardian.com/releases/saas/2026/09/07/changelog" TargetMode="External"/><Relationship Id="rId89" Type="http://schemas.openxmlformats.org/officeDocument/2006/relationships/hyperlink" Target="https://docs.gitlab.com/user/application_security/secret_detection/" TargetMode="External"/><Relationship Id="rId90" Type="http://schemas.openxmlformats.org/officeDocument/2006/relationships/hyperlink" Target="https://github.com/gitleaks/gitleaks" TargetMode="External"/><Relationship Id="rId91" Type="http://schemas.openxmlformats.org/officeDocument/2006/relationships/hyperlink" Target="https://trufflesecurity.com/docs/2026-september" TargetMode="External"/><Relationship Id="rId92" Type="http://schemas.openxmlformats.org/officeDocument/2006/relationships/hyperlink" Target="https://techcrunch.com/2026/09/01/air-raises-50m-to-help-companies-vet-the-skills-and-add-ons-ai-agents-use/" TargetMode="External"/><Relationship Id="rId93" Type="http://schemas.openxmlformats.org/officeDocument/2006/relationships/hyperlink" Target="https://anchore.com/blog/extending-supply-chain-security-to-ai-models-with-anchore-enterprise-v6-2/" TargetMode="External"/><Relationship Id="rId94" Type="http://schemas.openxmlformats.org/officeDocument/2006/relationships/hyperlink" Target="https://www.blackduck.com/software-composition-analysis-tools/black-duck-sca.html" TargetMode="External"/><Relationship Id="rId95" Type="http://schemas.openxmlformats.org/officeDocument/2006/relationships/hyperlink" Target="https://vmblog.com/news/checkmarx-delivers-complete-ai-asset-visibility-and-governance-for-the-software-supply-chain-closing-the-shadow-ai-gap/" TargetMode="External"/><Relationship Id="rId96" Type="http://schemas.openxmlformats.org/officeDocument/2006/relationships/hyperlink" Target="https://blogs.cisco.com/ai/know-your-ai-stack-introducing-ai-bom-in-cisco-ai-defense" TargetMode="External"/><Relationship Id="rId97" Type="http://schemas.openxmlformats.org/officeDocument/2006/relationships/hyperlink" Target="https://www.cybeats.com/sbom-studio" TargetMode="External"/><Relationship Id="rId98" Type="http://schemas.openxmlformats.org/officeDocument/2006/relationships/hyperlink" Target="https://www.endorlabs.com/learn/endor-labs-is-a-visionary-in-the-2026-gartner-r-magic-quadrant-tm-for-software-supply-chain-security" TargetMode="External"/><Relationship Id="rId99" Type="http://schemas.openxmlformats.org/officeDocument/2006/relationships/hyperlink" Target="https://finitestate.io/platform" TargetMode="External"/><Relationship Id="rId100" Type="http://schemas.openxmlformats.org/officeDocument/2006/relationships/hyperlink" Target="https://fossa.com/product/sbom-management/" TargetMode="External"/><Relationship Id="rId101" Type="http://schemas.openxmlformats.org/officeDocument/2006/relationships/hyperlink" Target="https://docs.github.com/en/code-security/supply-chain-security/understanding-your-software-supply-chain/exporting-a-software-bill-of-materials-for-your-repository" TargetMode="External"/><Relationship Id="rId102" Type="http://schemas.openxmlformats.org/officeDocument/2006/relationships/hyperlink" Target="https://help.hcl-software.com/appscan/360/2.1.0/360_whats_new.html" TargetMode="External"/><Relationship Id="rId103" Type="http://schemas.openxmlformats.org/officeDocument/2006/relationships/hyperlink" Target="https://hiddenlayer.com/" TargetMode="External"/><Relationship Id="rId104" Type="http://schemas.openxmlformats.org/officeDocument/2006/relationships/hyperlink" Target="https://jfrog.com/blog/jfrog-named-a-leader-in-the-gartner-magic-quadrant/" TargetMode="External"/><Relationship Id="rId105" Type="http://schemas.openxmlformats.org/officeDocument/2006/relationships/hyperlink" Target="https://www.legitsecurity.com/" TargetMode="External"/><Relationship Id="rId106" Type="http://schemas.openxmlformats.org/officeDocument/2006/relationships/hyperlink" Target="https://finance.yahoo.com/technology/ai/articles/lineaje-recognized-visionary-2026-gartner-154300110.html" TargetMode="External"/><Relationship Id="rId107" Type="http://schemas.openxmlformats.org/officeDocument/2006/relationships/hyperlink" Target="https://www.manifestcyber.com/press/first-ai-risk-transparency-solution" TargetMode="External"/><Relationship Id="rId108" Type="http://schemas.openxmlformats.org/officeDocument/2006/relationships/hyperlink" Target="https://www.mend.io/mend-ai/" TargetMode="External"/><Relationship Id="rId109" Type="http://schemas.openxmlformats.org/officeDocument/2006/relationships/hyperlink" Target="https://noma.security/" TargetMode="External"/><Relationship Id="rId110" Type="http://schemas.openxmlformats.org/officeDocument/2006/relationships/hyperlink" Target="https://www.oligo.security/" TargetMode="External"/><Relationship Id="rId111" Type="http://schemas.openxmlformats.org/officeDocument/2006/relationships/hyperlink" Target="https://www.opentext.com/products/application-security-aviator" TargetMode="External"/><Relationship Id="rId112" Type="http://schemas.openxmlformats.org/officeDocument/2006/relationships/hyperlink" Target="https://www.paloaltonetworks.com/company/press/2025/palo-alto-networks-completes-acquisition-of-protect-ai" TargetMode="External"/><Relationship Id="rId113" Type="http://schemas.openxmlformats.org/officeDocument/2006/relationships/hyperlink" Target="https://prompt.security/blog/prompt-security-sentinelone-a-new-chapter-begins" TargetMode="External"/><Relationship Id="rId114" Type="http://schemas.openxmlformats.org/officeDocument/2006/relationships/hyperlink" Target="https://safeguard.sh/" TargetMode="External"/><Relationship Id="rId115" Type="http://schemas.openxmlformats.org/officeDocument/2006/relationships/hyperlink" Target="https://scribesecurity.com/" TargetMode="External"/><Relationship Id="rId116" Type="http://schemas.openxmlformats.org/officeDocument/2006/relationships/hyperlink" Target="https://docs.snyk.io/developer-tools/snyk-cli/commands/aibom.md" TargetMode="External"/><Relationship Id="rId117" Type="http://schemas.openxmlformats.org/officeDocument/2006/relationships/hyperlink" Target="https://www.sonatype.com/products/sbom-manager" TargetMode="External"/><Relationship Id="rId118" Type="http://schemas.openxmlformats.org/officeDocument/2006/relationships/hyperlink" Target="https://docs.veracode.com/updates/r/Veracode_CLI_Updates" TargetMode="External"/><Relationship Id="rId119" Type="http://schemas.openxmlformats.org/officeDocument/2006/relationships/hyperlink" Target="https://zeropath.com/products/aibom" TargetMode="External"/><Relationship Id="rId120" Type="http://schemas.openxmlformats.org/officeDocument/2006/relationships/hyperlink" Target="https://github.com/msaad00/agent-bom" TargetMode="External"/><Relationship Id="rId121" Type="http://schemas.openxmlformats.org/officeDocument/2006/relationships/hyperlink" Target="https://github.com/bomctl/bomctl" TargetMode="External"/><Relationship Id="rId122" Type="http://schemas.openxmlformats.org/officeDocument/2006/relationships/hyperlink" Target="https://github.com/chainloop-dev/chainloop" TargetMode="External"/><Relationship Id="rId123" Type="http://schemas.openxmlformats.org/officeDocument/2006/relationships/hyperlink" Target="https://docs.gitlab.com/user/application_security/dependency_scanning/" TargetMode="External"/><Relationship Id="rId124" Type="http://schemas.openxmlformats.org/officeDocument/2006/relationships/hyperlink" Target="https://github.com/interlynk-io/sbomqs" TargetMode="External"/><Relationship Id="rId125" Type="http://schemas.openxmlformats.org/officeDocument/2006/relationships/hyperlink" Target="https://www.kusari.dev/" TargetMode="External"/><Relationship Id="rId126" Type="http://schemas.openxmlformats.org/officeDocument/2006/relationships/hyperlink" Target="https://github.com/microsoft/sbom-tool" TargetMode="External"/><Relationship Id="rId127" Type="http://schemas.openxmlformats.org/officeDocument/2006/relationships/hyperlink" Target="https://github.com/aetheris-ai/aibom-generator" TargetMode="External"/><Relationship Id="rId128" Type="http://schemas.openxmlformats.org/officeDocument/2006/relationships/hyperlink" Target="https://github.com/CycloneDX/cdxgen/releases/latest" TargetMode="External"/><Relationship Id="rId129" Type="http://schemas.openxmlformats.org/officeDocument/2006/relationships/hyperlink" Target="https://docs.dependencytrack.org/changelog/" TargetMode="External"/><Relationship Id="rId130" Type="http://schemas.openxmlformats.org/officeDocument/2006/relationships/hyperlink" Target="https://github.com/eBay/sbom-scorecard" TargetMode="External"/><Relationship Id="rId131" Type="http://schemas.openxmlformats.org/officeDocument/2006/relationships/hyperlink" Target="https://spdx.github.io/spdx-spec/v3.0.1/model/AI/AI/" TargetMode="External"/><Relationship Id="rId132" Type="http://schemas.openxmlformats.org/officeDocument/2006/relationships/hyperlink" Target="https://anchore.com/blog/extending-supply-chain-security-to-ai-models-with-anchore-enterprise-v6-2/" TargetMode="External"/><Relationship Id="rId133" Type="http://schemas.openxmlformats.org/officeDocument/2006/relationships/hyperlink" Target="https://trivy.dev/latest/docs/supply-chain/vex/" TargetMode="External"/><Relationship Id="rId134" Type="http://schemas.openxmlformats.org/officeDocument/2006/relationships/hyperlink" Target="https://github.com/awslabs/threat-composer/releases" TargetMode="External"/><Relationship Id="rId135" Type="http://schemas.openxmlformats.org/officeDocument/2006/relationships/hyperlink" Target="https://www.aptori.com/" TargetMode="External"/><Relationship Id="rId136" Type="http://schemas.openxmlformats.org/officeDocument/2006/relationships/hyperlink" Target="https://www.aristiun.com/automated-threat-modeling-using-ai" TargetMode="External"/><Relationship Id="rId137" Type="http://schemas.openxmlformats.org/officeDocument/2006/relationships/hyperlink" Target="https://www.devarmor.com/" TargetMode="External"/><Relationship Id="rId138" Type="http://schemas.openxmlformats.org/officeDocument/2006/relationships/hyperlink" Target="https://www.securitycompass.com/devici/ai-infusion/" TargetMode="External"/><Relationship Id="rId139" Type="http://schemas.openxmlformats.org/officeDocument/2006/relationships/hyperlink" Target="https://www.iriusrisk.com/ai-threat-modeling" TargetMode="External"/><Relationship Id="rId140" Type="http://schemas.openxmlformats.org/officeDocument/2006/relationships/hyperlink" Target="https://xvnpw.github.io/posts/scaling-threat-modeling-with-ai/" TargetMode="External"/><Relationship Id="rId141" Type="http://schemas.openxmlformats.org/officeDocument/2006/relationships/hyperlink" Target="https://www.securitycompass.com/devici/ai-infusion/" TargetMode="External"/><Relationship Id="rId142" Type="http://schemas.openxmlformats.org/officeDocument/2006/relationships/hyperlink" Target="https://learn.microsoft.com/en-us/security/engineering/threat-modeling-aiml" TargetMode="External"/><Relationship Id="rId143" Type="http://schemas.openxmlformats.org/officeDocument/2006/relationships/hyperlink" Target="https://learn.microsoft.com/en-us/security/engineering/threat-modeling-aiml" TargetMode="External"/><Relationship Id="rId144" Type="http://schemas.openxmlformats.org/officeDocument/2006/relationships/hyperlink" Target="https://learn.microsoft.com/en-us/azure/security/develop/threat-modeling-tool-releases" TargetMode="External"/><Relationship Id="rId145" Type="http://schemas.openxmlformats.org/officeDocument/2006/relationships/hyperlink" Target="https://github.com/mrwadams/stride-gpt" TargetMode="External"/><Relationship Id="rId146" Type="http://schemas.openxmlformats.org/officeDocument/2006/relationships/hyperlink" Target="https://www.nist.gov/itl/ai-risk-management-framework" TargetMode="External"/><Relationship Id="rId147" Type="http://schemas.openxmlformats.org/officeDocument/2006/relationships/hyperlink" Target="https://www.oplane.com/" TargetMode="External"/><Relationship Id="rId148" Type="http://schemas.openxmlformats.org/officeDocument/2006/relationships/hyperlink" Target="https://genai.owasp.org/initiatives/agentic-security-initiative/" TargetMode="External"/><Relationship Id="rId149" Type="http://schemas.openxmlformats.org/officeDocument/2006/relationships/hyperlink" Target="https://owaspai.org/" TargetMode="External"/><Relationship Id="rId150" Type="http://schemas.openxmlformats.org/officeDocument/2006/relationships/hyperlink" Target="https://owasp.org/www-project-cornucopia/" TargetMode="External"/><Relationship Id="rId151" Type="http://schemas.openxmlformats.org/officeDocument/2006/relationships/hyperlink" Target="https://genai.owasp.org/" TargetMode="External"/><Relationship Id="rId152" Type="http://schemas.openxmlformats.org/officeDocument/2006/relationships/hyperlink" Target="https://www.primesec.ai/ai-security-architect" TargetMode="External"/><Relationship Id="rId153" Type="http://schemas.openxmlformats.org/officeDocument/2006/relationships/hyperlink" Target="https://www.securitycompass.com/sdelements/navigator/" TargetMode="External"/><Relationship Id="rId154" Type="http://schemas.openxmlformats.org/officeDocument/2006/relationships/hyperlink" Target="https://foreseeti.com/" TargetMode="External"/><Relationship Id="rId155" Type="http://schemas.openxmlformats.org/officeDocument/2006/relationships/hyperlink" Target="https://seezo.io/" TargetMode="External"/><Relationship Id="rId156" Type="http://schemas.openxmlformats.org/officeDocument/2006/relationships/hyperlink" Target="https://shostack.org/resources/threat-modeling" TargetMode="External"/><Relationship Id="rId157" Type="http://schemas.openxmlformats.org/officeDocument/2006/relationships/hyperlink" Target="https://blog.secureflag.com/2026/01/13/code-repo-to-threatcanvas/" TargetMode="External"/><Relationship Id="rId158" Type="http://schemas.openxmlformats.org/officeDocument/2006/relationships/hyperlink" Target="https://www.threatmodeler.ai/products/cloudmodeler" TargetMode="External"/><Relationship Id="rId159" Type="http://schemas.openxmlformats.org/officeDocument/2006/relationships/hyperlink" Target="https://www.tidalcyber.com/" TargetMode="External"/><Relationship Id="rId160" Type="http://schemas.openxmlformats.org/officeDocument/2006/relationships/hyperlink" Target="https://tutamantic.com/" TargetMode="External"/><Relationship Id="rId161" Type="http://schemas.openxmlformats.org/officeDocument/2006/relationships/hyperlink" Target="https://github.com/cairis-platform/cairis" TargetMode="External"/><Relationship Id="rId162" Type="http://schemas.openxmlformats.org/officeDocument/2006/relationships/hyperlink" Target="https://github.com/OWASP/pytm" TargetMode="External"/><Relationship Id="rId163" Type="http://schemas.openxmlformats.org/officeDocument/2006/relationships/hyperlink" Target="https://owasp.org/www-project-threat-dragon/" TargetMode="External"/><Relationship Id="rId164" Type="http://schemas.openxmlformats.org/officeDocument/2006/relationships/hyperlink" Target="https://www.precogly.org/" TargetMode="External"/><Relationship Id="rId165" Type="http://schemas.openxmlformats.org/officeDocument/2006/relationships/hyperlink" Target="https://developers.redhat.com/articles/2026/09/21/ai-threat-modeling-shouldnt-be-a-bottleneck-so-we-open-sourced-ours" TargetMode="External"/><Relationship Id="rId166" Type="http://schemas.openxmlformats.org/officeDocument/2006/relationships/hyperlink" Target="https://github.com/mrwadams/stride-gpt" TargetMode="External"/><Relationship Id="rId167" Type="http://schemas.openxmlformats.org/officeDocument/2006/relationships/hyperlink" Target="https://github.com/Threagile/threagile" TargetMode="External"/><Relationship Id="rId168" Type="http://schemas.openxmlformats.org/officeDocument/2006/relationships/hyperlink" Target="https://github.com/awslabs/threat-composer/releases" TargetMode="External"/><Relationship Id="rId169" Type="http://schemas.openxmlformats.org/officeDocument/2006/relationships/hyperlink" Target="https://github.com/DataDog/threatest" TargetMode="External"/><Relationship Id="rId170" Type="http://schemas.openxmlformats.org/officeDocument/2006/relationships/hyperlink" Target="https://github.com/threatspec/threatspec" TargetMode="External"/><Relationship Id="rId171" Type="http://schemas.openxmlformats.org/officeDocument/2006/relationships/hyperlink" Target="https://www.helpnetsecurity.com/2026/04/27/aptori-autonomous-offensive-testing-capabilities/" TargetMode="External"/><Relationship Id="rId172" Type="http://schemas.openxmlformats.org/officeDocument/2006/relationships/hyperlink" Target="https://www.armorcode.com/platform" TargetMode="External"/><Relationship Id="rId173" Type="http://schemas.openxmlformats.org/officeDocument/2006/relationships/hyperlink" Target="https://blog.convisoappsec.com/en/automation-of-security-requirements-with-the-conviso-platform-api/" TargetMode="External"/><Relationship Id="rId174" Type="http://schemas.openxmlformats.org/officeDocument/2006/relationships/hyperlink" Target="https://www.securitycompass.com/devici/" TargetMode="External"/><Relationship Id="rId175" Type="http://schemas.openxmlformats.org/officeDocument/2006/relationships/hyperlink" Target="https://www.ibm.com/products/requirements-management" TargetMode="External"/><Relationship Id="rId176" Type="http://schemas.openxmlformats.org/officeDocument/2006/relationships/hyperlink" Target="https://www.iriusrisk.com/documentation/use-our-ai-assistant-jeff" TargetMode="External"/><Relationship Id="rId177" Type="http://schemas.openxmlformats.org/officeDocument/2006/relationships/hyperlink" Target="https://www.jamasoftware.com/platform/jama-connect/" TargetMode="External"/><Relationship Id="rId178" Type="http://schemas.openxmlformats.org/officeDocument/2006/relationships/hyperlink" Target="https://www.getxray.app/" TargetMode="External"/><Relationship Id="rId179" Type="http://schemas.openxmlformats.org/officeDocument/2006/relationships/hyperlink" Target="https://appsecsanta.com/jit" TargetMode="External"/><Relationship Id="rId180" Type="http://schemas.openxmlformats.org/officeDocument/2006/relationships/hyperlink" Target="https://www.invicti.com/blog/news/invicti-acquires-kondukto-to-deliver-proof-based-aspm" TargetMode="External"/><Relationship Id="rId181" Type="http://schemas.openxmlformats.org/officeDocument/2006/relationships/hyperlink" Target="https://cheatsheetseries.owasp.org/" TargetMode="External"/><Relationship Id="rId182" Type="http://schemas.openxmlformats.org/officeDocument/2006/relationships/hyperlink" Target="https://medium.com/@clintcan/building-an-owasp-asvs-mcp-server-eb56ace0ceb8" TargetMode="External"/><Relationship Id="rId183" Type="http://schemas.openxmlformats.org/officeDocument/2006/relationships/hyperlink" Target="https://mas.owasp.org/" TargetMode="External"/><Relationship Id="rId184" Type="http://schemas.openxmlformats.org/officeDocument/2006/relationships/hyperlink" Target="https://owaspsamm.org/blog/" TargetMode="External"/><Relationship Id="rId185" Type="http://schemas.openxmlformats.org/officeDocument/2006/relationships/hyperlink" Target="https://www.primesec.ai/resources/prime-security-is-now-ga" TargetMode="External"/><Relationship Id="rId186" Type="http://schemas.openxmlformats.org/officeDocument/2006/relationships/hyperlink" Target="https://www.ycombinator.com/companies/remy-security" TargetMode="External"/><Relationship Id="rId187" Type="http://schemas.openxmlformats.org/officeDocument/2006/relationships/hyperlink" Target="https://requirementone.com/" TargetMode="External"/><Relationship Id="rId188" Type="http://schemas.openxmlformats.org/officeDocument/2006/relationships/hyperlink" Target="https://sammy.codific.com/" TargetMode="External"/><Relationship Id="rId189" Type="http://schemas.openxmlformats.org/officeDocument/2006/relationships/hyperlink" Target="https://docs.sdelements.com/master/guide/docs/release_notes/" TargetMode="External"/><Relationship Id="rId190" Type="http://schemas.openxmlformats.org/officeDocument/2006/relationships/hyperlink" Target="https://www.helpnetsecurity.com/2026/03/17/secure-code-warrior-trust-agent-ai-governance/" TargetMode="External"/><Relationship Id="rId191" Type="http://schemas.openxmlformats.org/officeDocument/2006/relationships/hyperlink" Target="https://seezo.io/" TargetMode="External"/><Relationship Id="rId192" Type="http://schemas.openxmlformats.org/officeDocument/2006/relationships/hyperlink" Target="https://www.helpnetsecurity.com/2026/06/26/threatmodeler-introduces-nexus-to-automate-threat-modeling-with-ai-governance/" TargetMode="External"/><Relationship Id="rId193" Type="http://schemas.openxmlformats.org/officeDocument/2006/relationships/hyperlink" Target="https://checkmarx.com/press-releases/checkmarx-acquires-tromzo-to-launch-new-era-of-application-security/" TargetMode="External"/><Relationship Id="rId194" Type="http://schemas.openxmlformats.org/officeDocument/2006/relationships/hyperlink" Target="https://docs.gitlab.com/user/application_security/" TargetMode="External"/><Relationship Id="rId195" Type="http://schemas.openxmlformats.org/officeDocument/2006/relationships/hyperlink" Target="https://medium.com/@clintcan/building-an-owasp-asvs-mcp-server-eb56ace0ceb8" TargetMode="External"/><Relationship Id="rId196" Type="http://schemas.openxmlformats.org/officeDocument/2006/relationships/hyperlink" Target="https://www.opencre.org/" TargetMode="External"/><Relationship Id="rId197" Type="http://schemas.openxmlformats.org/officeDocument/2006/relationships/hyperlink" Target="https://github.com/devsecopsmaturitymodel/DevSecOps-MaturityModel" TargetMode="External"/><Relationship Id="rId198" Type="http://schemas.openxmlformats.org/officeDocument/2006/relationships/hyperlink" Target="https://github.com/SecurityRAT/SecurityRAT" TargetMode="External"/><Relationship Id="rId199" Type="http://schemas.openxmlformats.org/officeDocument/2006/relationships/hyperlink" Target="https://www.aikido.dev/blog/aikido-altar-open-weight-ai-sovereign-security" TargetMode="External"/><Relationship Id="rId200" Type="http://schemas.openxmlformats.org/officeDocument/2006/relationships/hyperlink" Target="https://www.amplify.security/" TargetMode="External"/><Relationship Id="rId201" Type="http://schemas.openxmlformats.org/officeDocument/2006/relationships/hyperlink" Target="https://apiiro.com/" TargetMode="External"/><Relationship Id="rId202" Type="http://schemas.openxmlformats.org/officeDocument/2006/relationships/hyperlink" Target="https://aptori.com/" TargetMode="External"/><Relationship Id="rId203" Type="http://schemas.openxmlformats.org/officeDocument/2006/relationships/hyperlink" Target="https://www.armorcode.com/" TargetMode="External"/><Relationship Id="rId204" Type="http://schemas.openxmlformats.org/officeDocument/2006/relationships/hyperlink" Target="https://www.blackduck.com/blog/polaris-september-2026-update.html" TargetMode="External"/><Relationship Id="rId205" Type="http://schemas.openxmlformats.org/officeDocument/2006/relationships/hyperlink" Target="https://checkmarx.com/product/developer-assist/" TargetMode="External"/><Relationship Id="rId206" Type="http://schemas.openxmlformats.org/officeDocument/2006/relationships/hyperlink" Target="https://clover.security/news/" TargetMode="External"/><Relationship Id="rId207" Type="http://schemas.openxmlformats.org/officeDocument/2006/relationships/hyperlink" Target="https://www.contrastsecurity.com/contrast-one" TargetMode="External"/><Relationship Id="rId208" Type="http://schemas.openxmlformats.org/officeDocument/2006/relationships/hyperlink" Target="https://corgea.com/" TargetMode="External"/><Relationship Id="rId209" Type="http://schemas.openxmlformats.org/officeDocument/2006/relationships/hyperlink" Target="https://www.paloaltonetworks.com/cortex/cloud/application-security" TargetMode="External"/><Relationship Id="rId210" Type="http://schemas.openxmlformats.org/officeDocument/2006/relationships/hyperlink" Target="https://www.crowdstrike.com/en-us/platform/cloud-security/aspm/" TargetMode="External"/><Relationship Id="rId211" Type="http://schemas.openxmlformats.org/officeDocument/2006/relationships/hyperlink" Target="https://cycode.com/" TargetMode="External"/><Relationship Id="rId212" Type="http://schemas.openxmlformats.org/officeDocument/2006/relationships/hyperlink" Target="https://dryrun.security/" TargetMode="External"/><Relationship Id="rId213" Type="http://schemas.openxmlformats.org/officeDocument/2006/relationships/hyperlink" Target="https://www.endorlabs.com/learn/byok-for-endor-labs" TargetMode="External"/><Relationship Id="rId214" Type="http://schemas.openxmlformats.org/officeDocument/2006/relationships/hyperlink" Target="https://escape.tech/" TargetMode="External"/><Relationship Id="rId215" Type="http://schemas.openxmlformats.org/officeDocument/2006/relationships/hyperlink" Target="https://github.blog/changelog/2026-10-15-agentic-autofix-for-code-scanning-alerts-general-availability" TargetMode="External"/><Relationship Id="rId216" Type="http://schemas.openxmlformats.org/officeDocument/2006/relationships/hyperlink" Target="https://gomboc.ai/" TargetMode="External"/><Relationship Id="rId217" Type="http://schemas.openxmlformats.org/officeDocument/2006/relationships/hyperlink" Target="https://help.hcl-software.com/appscan/ASoC/appseccloud_whats_new_cm.html" TargetMode="External"/><Relationship Id="rId218" Type="http://schemas.openxmlformats.org/officeDocument/2006/relationships/hyperlink" Target="https://www.invicti.com/product/aspm/" TargetMode="External"/><Relationship Id="rId219" Type="http://schemas.openxmlformats.org/officeDocument/2006/relationships/hyperlink" Target="https://jfrog.com/platform/" TargetMode="External"/><Relationship Id="rId220" Type="http://schemas.openxmlformats.org/officeDocument/2006/relationships/hyperlink" Target="https://www.jit.io/" TargetMode="External"/><Relationship Id="rId221" Type="http://schemas.openxmlformats.org/officeDocument/2006/relationships/hyperlink" Target="https://www.legitsecurity.com/" TargetMode="External"/><Relationship Id="rId222" Type="http://schemas.openxmlformats.org/officeDocument/2006/relationships/hyperlink" Target="https://www.mend.io/" TargetMode="External"/><Relationship Id="rId223" Type="http://schemas.openxmlformats.org/officeDocument/2006/relationships/hyperlink" Target="https://www.mobb.ai/" TargetMode="External"/><Relationship Id="rId224" Type="http://schemas.openxmlformats.org/officeDocument/2006/relationships/hyperlink" Target="https://www.nullify.ai/" TargetMode="External"/><Relationship Id="rId225" Type="http://schemas.openxmlformats.org/officeDocument/2006/relationships/hyperlink" Target="https://www.opentext.com/products/application-security" TargetMode="External"/><Relationship Id="rId226" Type="http://schemas.openxmlformats.org/officeDocument/2006/relationships/hyperlink" Target="https://orca.security/" TargetMode="External"/><Relationship Id="rId227" Type="http://schemas.openxmlformats.org/officeDocument/2006/relationships/hyperlink" Target="https://www.ox.security/blog/ox-security-launches-ox-cloud-ai-agent-security/" TargetMode="External"/><Relationship Id="rId228" Type="http://schemas.openxmlformats.org/officeDocument/2006/relationships/hyperlink" Target="https://phoenix.security/phoenix-cli-and-mcp-server/" TargetMode="External"/><Relationship Id="rId229" Type="http://schemas.openxmlformats.org/officeDocument/2006/relationships/hyperlink" Target="https://www.pixee.ai/" TargetMode="External"/><Relationship Id="rId230" Type="http://schemas.openxmlformats.org/officeDocument/2006/relationships/hyperlink" Target="https://appsecsanta.com/aspm-tools" TargetMode="External"/><Relationship Id="rId231" Type="http://schemas.openxmlformats.org/officeDocument/2006/relationships/hyperlink" Target="https://snyk.io/platform/" TargetMode="External"/><Relationship Id="rId232" Type="http://schemas.openxmlformats.org/officeDocument/2006/relationships/hyperlink" Target="https://www.sonatype.com/" TargetMode="External"/><Relationship Id="rId233" Type="http://schemas.openxmlformats.org/officeDocument/2006/relationships/hyperlink" Target="https://www.tromzo.com/" TargetMode="External"/><Relationship Id="rId234" Type="http://schemas.openxmlformats.org/officeDocument/2006/relationships/hyperlink" Target="https://www.veracode.com/products/risk-manager/" TargetMode="External"/><Relationship Id="rId235" Type="http://schemas.openxmlformats.org/officeDocument/2006/relationships/hyperlink" Target="https://www.wiz.io/blog/introducing-wiz-ai-sast" TargetMode="External"/><Relationship Id="rId236" Type="http://schemas.openxmlformats.org/officeDocument/2006/relationships/hyperlink" Target="https://zeropath.com/" TargetMode="External"/><Relationship Id="rId237" Type="http://schemas.openxmlformats.org/officeDocument/2006/relationships/hyperlink" Target="https://faradaysec.com/latest-release/" TargetMode="External"/><Relationship Id="rId238" Type="http://schemas.openxmlformats.org/officeDocument/2006/relationships/hyperlink" Target="https://docs.gitlab.com/releases/19/gitlab-19-5-released/" TargetMode="External"/><Relationship Id="rId239" Type="http://schemas.openxmlformats.org/officeDocument/2006/relationships/hyperlink" Target="https://github.com/DefectDojo/django-DefectDojo" TargetMode="External"/><Relationship Id="rId240" Type="http://schemas.openxmlformats.org/officeDocument/2006/relationships/hyperlink" Target="https://semgrep.dev/" TargetMode="External"/><Relationship Id="rId241" Type="http://schemas.openxmlformats.org/officeDocument/2006/relationships/hyperlink" Target="https://sysdig.com/" TargetMode="External"/><Relationship Id="rId242"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www.aikido.dev/" TargetMode="External"/><Relationship Id="rId2" Type="http://schemas.openxmlformats.org/officeDocument/2006/relationships/hyperlink" Target="https://www.aikido.dev/features/autofix" TargetMode="External"/><Relationship Id="rId3" Type="http://schemas.openxmlformats.org/officeDocument/2006/relationships/hyperlink" Target="https://amplify.security/" TargetMode="External"/><Relationship Id="rId4" Type="http://schemas.openxmlformats.org/officeDocument/2006/relationships/hyperlink" Target="https://amplify.security/" TargetMode="External"/><Relationship Id="rId5" Type="http://schemas.openxmlformats.org/officeDocument/2006/relationships/hyperlink" Target="https://www.arnica.io/" TargetMode="External"/><Relationship Id="rId6" Type="http://schemas.openxmlformats.org/officeDocument/2006/relationships/hyperlink" Target="https://www.arnica.io/" TargetMode="External"/><Relationship Id="rId7" Type="http://schemas.openxmlformats.org/officeDocument/2006/relationships/hyperlink" Target="https://www.blackduck.com/static-analysis-tools-sast/coverity.html" TargetMode="External"/><Relationship Id="rId8" Type="http://schemas.openxmlformats.org/officeDocument/2006/relationships/hyperlink" Target="https://www.itsecurityguru.org/2026/07/14/black-duck-adds-ai-powered-triage-and-cra-ready-checks-to-coverity-static-analysis/" TargetMode="External"/><Relationship Id="rId9" Type="http://schemas.openxmlformats.org/officeDocument/2006/relationships/hyperlink" Target="https://checkmarx.com/product/cxone-sast/" TargetMode="External"/><Relationship Id="rId10" Type="http://schemas.openxmlformats.org/officeDocument/2006/relationships/hyperlink" Target="https://www.globenewswire.com/news-release/2026/03/16/3256259/0/en/Checkmarx-Redefines-Application-Security-for-the-Age-of-Agentic-Development.html" TargetMode="External"/><Relationship Id="rId11" Type="http://schemas.openxmlformats.org/officeDocument/2006/relationships/hyperlink" Target="https://www.coderabbit.ai/security" TargetMode="External"/><Relationship Id="rId12" Type="http://schemas.openxmlformats.org/officeDocument/2006/relationships/hyperlink" Target="https://www.coderabbit.ai/security" TargetMode="External"/><Relationship Id="rId13" Type="http://schemas.openxmlformats.org/officeDocument/2006/relationships/hyperlink" Target="https://www.contrastsecurity.com/contrast-scan" TargetMode="External"/><Relationship Id="rId14" Type="http://schemas.openxmlformats.org/officeDocument/2006/relationships/hyperlink" Target="https://docs.contrastsecurity.com/en/contrast-ai-smartfix.html" TargetMode="External"/><Relationship Id="rId15" Type="http://schemas.openxmlformats.org/officeDocument/2006/relationships/hyperlink" Target="https://corgea.com/" TargetMode="External"/><Relationship Id="rId16" Type="http://schemas.openxmlformats.org/officeDocument/2006/relationships/hyperlink" Target="https://corgea.com/auto-triage" TargetMode="External"/><Relationship Id="rId17" Type="http://schemas.openxmlformats.org/officeDocument/2006/relationships/hyperlink" Target="https://cursor.com/bugbot" TargetMode="External"/><Relationship Id="rId18" Type="http://schemas.openxmlformats.org/officeDocument/2006/relationships/hyperlink" Target="https://cursor.com/changelog" TargetMode="External"/><Relationship Id="rId19" Type="http://schemas.openxmlformats.org/officeDocument/2006/relationships/hyperlink" Target="https://www.dryrun.security/" TargetMode="External"/><Relationship Id="rId20" Type="http://schemas.openxmlformats.org/officeDocument/2006/relationships/hyperlink" Target="https://www.dryrun.security/product/sast" TargetMode="External"/><Relationship Id="rId21" Type="http://schemas.openxmlformats.org/officeDocument/2006/relationships/hyperlink" Target="https://www.endorlabs.com/use-case/sast" TargetMode="External"/><Relationship Id="rId22" Type="http://schemas.openxmlformats.org/officeDocument/2006/relationships/hyperlink" Target="https://www.prnewswire.com/news-releases/endor-labs-debuts-ai-native-multi-modal-sast-marking-a-new-era-in-code-flaw-detection-302619629.html" TargetMode="External"/><Relationship Id="rId23" Type="http://schemas.openxmlformats.org/officeDocument/2006/relationships/hyperlink" Target="https://github.com/security/advanced-security" TargetMode="External"/><Relationship Id="rId24" Type="http://schemas.openxmlformats.org/officeDocument/2006/relationships/hyperlink" Target="https://github.blog/changelog/2026-10-15-agentic-autofix-for-code-scanning-alerts-general-availability" TargetMode="External"/><Relationship Id="rId25" Type="http://schemas.openxmlformats.org/officeDocument/2006/relationships/hyperlink" Target="https://www.greptile.com/" TargetMode="External"/><Relationship Id="rId26" Type="http://schemas.openxmlformats.org/officeDocument/2006/relationships/hyperlink" Target="https://www.greptile.com/content-library/best-security-code-review-tools" TargetMode="External"/><Relationship Id="rId27" Type="http://schemas.openxmlformats.org/officeDocument/2006/relationships/hyperlink" Target="https://www.hcl-software.com/appscan" TargetMode="External"/><Relationship Id="rId28" Type="http://schemas.openxmlformats.org/officeDocument/2006/relationships/hyperlink" Target="https://www.hcl-software.com/appscan/products/rapidfix" TargetMode="External"/><Relationship Id="rId29" Type="http://schemas.openxmlformats.org/officeDocument/2006/relationships/hyperlink" Target="https://www.jit.io/" TargetMode="External"/><Relationship Id="rId30" Type="http://schemas.openxmlformats.org/officeDocument/2006/relationships/hyperlink" Target="https://www.jit.io/" TargetMode="External"/><Relationship Id="rId31" Type="http://schemas.openxmlformats.org/officeDocument/2006/relationships/hyperlink" Target="https://www.kodemsecurity.com/platform/sast" TargetMode="External"/><Relationship Id="rId32" Type="http://schemas.openxmlformats.org/officeDocument/2006/relationships/hyperlink" Target="https://www.kodemsecurity.com/platform/sast" TargetMode="External"/><Relationship Id="rId33" Type="http://schemas.openxmlformats.org/officeDocument/2006/relationships/hyperlink" Target="https://www.mobb.ai/" TargetMode="External"/><Relationship Id="rId34" Type="http://schemas.openxmlformats.org/officeDocument/2006/relationships/hyperlink" Target="https://www.mobb.ai/" TargetMode="External"/><Relationship Id="rId35" Type="http://schemas.openxmlformats.org/officeDocument/2006/relationships/hyperlink" Target="https://www.nullify.ai/" TargetMode="External"/><Relationship Id="rId36" Type="http://schemas.openxmlformats.org/officeDocument/2006/relationships/hyperlink" Target="https://www.nullify.ai/" TargetMode="External"/><Relationship Id="rId37" Type="http://schemas.openxmlformats.org/officeDocument/2006/relationships/hyperlink" Target="https://www.opentext.com/products/static-application-security-testing" TargetMode="External"/><Relationship Id="rId38" Type="http://schemas.openxmlformats.org/officeDocument/2006/relationships/hyperlink" Target="https://blogs.opentext.com/opentext-fortify-remediation-aviator-audit-every-finding-fix-whats-real/" TargetMode="External"/><Relationship Id="rId39" Type="http://schemas.openxmlformats.org/officeDocument/2006/relationships/hyperlink" Target="https://www.pixee.ai/" TargetMode="External"/><Relationship Id="rId40" Type="http://schemas.openxmlformats.org/officeDocument/2006/relationships/hyperlink" Target="https://www.pixee.ai/blog/veracode-alternatives" TargetMode="External"/><Relationship Id="rId41" Type="http://schemas.openxmlformats.org/officeDocument/2006/relationships/hyperlink" Target="https://snyk.io/product/snyk-code/" TargetMode="External"/><Relationship Id="rId42" Type="http://schemas.openxmlformats.org/officeDocument/2006/relationships/hyperlink" Target="https://docs.snyk.io/scan-fix-and-prevent/scan-with-snyk/snyk-code/manage-code-vulnerabilities/fix-code-vulnerabilities-automatically" TargetMode="External"/><Relationship Id="rId43" Type="http://schemas.openxmlformats.org/officeDocument/2006/relationships/hyperlink" Target="https://www.veracode.com/products/static-analysis/" TargetMode="External"/><Relationship Id="rId44" Type="http://schemas.openxmlformats.org/officeDocument/2006/relationships/hyperlink" Target="https://www.helpnetsecurity.com/2026/03/18/veracode-fix-for-sca/" TargetMode="External"/><Relationship Id="rId45" Type="http://schemas.openxmlformats.org/officeDocument/2006/relationships/hyperlink" Target="https://zeropath.com/" TargetMode="External"/><Relationship Id="rId46" Type="http://schemas.openxmlformats.org/officeDocument/2006/relationships/hyperlink" Target="https://zeropath.com/products/sast" TargetMode="External"/><Relationship Id="rId47" Type="http://schemas.openxmlformats.org/officeDocument/2006/relationships/hyperlink" Target="https://bandit.readthedocs.io/" TargetMode="External"/><Relationship Id="rId48" Type="http://schemas.openxmlformats.org/officeDocument/2006/relationships/hyperlink" Target="https://github.com/PyCQA/bandit" TargetMode="External"/><Relationship Id="rId49" Type="http://schemas.openxmlformats.org/officeDocument/2006/relationships/hyperlink" Target="https://cycode.com/platform/sast/" TargetMode="External"/><Relationship Id="rId50" Type="http://schemas.openxmlformats.org/officeDocument/2006/relationships/hyperlink" Target="https://www.prnewswire.com/news-releases/cycode-releases-agentic-code-scanning-and-attack-chaining-post-mythos-eras-answer-to-cost-vs-precision-tradeoff-302866093.html" TargetMode="External"/><Relationship Id="rId51" Type="http://schemas.openxmlformats.org/officeDocument/2006/relationships/hyperlink" Target="https://brakemanscanner.org/" TargetMode="External"/><Relationship Id="rId52" Type="http://schemas.openxmlformats.org/officeDocument/2006/relationships/hyperlink" Target="https://brakemanscanner.org/" TargetMode="External"/><Relationship Id="rId53" Type="http://schemas.openxmlformats.org/officeDocument/2006/relationships/hyperlink" Target="https://about.gitlab.com/solutions/application-security-testing/" TargetMode="External"/><Relationship Id="rId54" Type="http://schemas.openxmlformats.org/officeDocument/2006/relationships/hyperlink" Target="https://docs.gitlab.com/user/application_security/sast/gitlab_advanced_sast/" TargetMode="External"/><Relationship Id="rId55" Type="http://schemas.openxmlformats.org/officeDocument/2006/relationships/hyperlink" Target="https://github.com/securego/gosec" TargetMode="External"/><Relationship Id="rId56" Type="http://schemas.openxmlformats.org/officeDocument/2006/relationships/hyperlink" Target="https://github.com/securego/gosec" TargetMode="External"/><Relationship Id="rId57" Type="http://schemas.openxmlformats.org/officeDocument/2006/relationships/hyperlink" Target="https://www.opengrep.dev/" TargetMode="External"/><Relationship Id="rId58" Type="http://schemas.openxmlformats.org/officeDocument/2006/relationships/hyperlink" Target="https://www.opengrep.dev/" TargetMode="External"/><Relationship Id="rId59" Type="http://schemas.openxmlformats.org/officeDocument/2006/relationships/hyperlink" Target="https://pmd.github.io/" TargetMode="External"/><Relationship Id="rId60" Type="http://schemas.openxmlformats.org/officeDocument/2006/relationships/hyperlink" Target="https://github.com/pmd/pmd/releases" TargetMode="External"/><Relationship Id="rId61" Type="http://schemas.openxmlformats.org/officeDocument/2006/relationships/hyperlink" Target="https://semgrep.dev/products/semgrep-code/" TargetMode="External"/><Relationship Id="rId62" Type="http://schemas.openxmlformats.org/officeDocument/2006/relationships/hyperlink" Target="https://semgrep.dev/blog/2025/announcing-ai-noise-filtering-and-triage-memories/" TargetMode="External"/><Relationship Id="rId63" Type="http://schemas.openxmlformats.org/officeDocument/2006/relationships/hyperlink" Target="https://www.sonarsource.com/products/sonarqube/" TargetMode="External"/><Relationship Id="rId64" Type="http://schemas.openxmlformats.org/officeDocument/2006/relationships/hyperlink" Target="https://www.sonarsource.com/company/press-releases/sonarqube-server-2026-5-lta-release/" TargetMode="External"/><Relationship Id="rId65" Type="http://schemas.openxmlformats.org/officeDocument/2006/relationships/hyperlink" Target="https://find-sec-bugs.github.io/" TargetMode="External"/><Relationship Id="rId66" Type="http://schemas.openxmlformats.org/officeDocument/2006/relationships/hyperlink" Target="https://find-sec-bugs.github.io/" TargetMode="External"/><Relationship Id="rId67"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www.aikido.dev/" TargetMode="External"/><Relationship Id="rId2" Type="http://schemas.openxmlformats.org/officeDocument/2006/relationships/hyperlink" Target="https://www.aikido.dev/pricing" TargetMode="External"/><Relationship Id="rId3" Type="http://schemas.openxmlformats.org/officeDocument/2006/relationships/hyperlink" Target="https://air.security/" TargetMode="External"/><Relationship Id="rId4" Type="http://schemas.openxmlformats.org/officeDocument/2006/relationships/hyperlink" Target="https://techcrunch.com/2026/09/01/air-raises-50m-to-help-companies-vet-the-skills-and-add-ons-ai-agents-use/" TargetMode="External"/><Relationship Id="rId5" Type="http://schemas.openxmlformats.org/officeDocument/2006/relationships/hyperlink" Target="https://www.arnica.io/use-cases/sca" TargetMode="External"/><Relationship Id="rId6" Type="http://schemas.openxmlformats.org/officeDocument/2006/relationships/hyperlink" Target="https://www.arnica.io/blog/reachable-open-source-risk-prioritization" TargetMode="External"/><Relationship Id="rId7" Type="http://schemas.openxmlformats.org/officeDocument/2006/relationships/hyperlink" Target="https://www.blackduck.com/software-composition-analysis-tools/black-duck-sca.html" TargetMode="External"/><Relationship Id="rId8" Type="http://schemas.openxmlformats.org/officeDocument/2006/relationships/hyperlink" Target="https://www.nasdaq.com/press-release/black-duck-sca-introduces-ai-model-risk-scanning-enhanced-software-security-insights" TargetMode="External"/><Relationship Id="rId9" Type="http://schemas.openxmlformats.org/officeDocument/2006/relationships/hyperlink" Target="https://www.chainguard.dev/" TargetMode="External"/><Relationship Id="rId10" Type="http://schemas.openxmlformats.org/officeDocument/2006/relationships/hyperlink" Target="https://www.chainguard.dev/unchained/chainguard-is-named-a-leader-in-the-2026-gartner-magic-quadrant-for-software-supply-chain-security" TargetMode="External"/><Relationship Id="rId11" Type="http://schemas.openxmlformats.org/officeDocument/2006/relationships/hyperlink" Target="https://checkmarx.com/product/cxsca-open-source-scanning/" TargetMode="External"/><Relationship Id="rId12" Type="http://schemas.openxmlformats.org/officeDocument/2006/relationships/hyperlink" Target="https://checkmarx.com/checkmarx-one-developer-assist/" TargetMode="External"/><Relationship Id="rId13" Type="http://schemas.openxmlformats.org/officeDocument/2006/relationships/hyperlink" Target="https://cycode.com/platform/" TargetMode="External"/><Relationship Id="rId14" Type="http://schemas.openxmlformats.org/officeDocument/2006/relationships/hyperlink" Target="https://cycode.com/blog/bulk-ai-exploitability-analysis/" TargetMode="External"/><Relationship Id="rId15" Type="http://schemas.openxmlformats.org/officeDocument/2006/relationships/hyperlink" Target="https://www.echo.ai/" TargetMode="External"/><Relationship Id="rId16" Type="http://schemas.openxmlformats.org/officeDocument/2006/relationships/hyperlink" Target="https://siliconangle.com/2026/08/27/vulnerability-free-container-image-startup-echo-acquires-minimus/" TargetMode="External"/><Relationship Id="rId17" Type="http://schemas.openxmlformats.org/officeDocument/2006/relationships/hyperlink" Target="https://www.endorlabs.com/" TargetMode="External"/><Relationship Id="rId18" Type="http://schemas.openxmlformats.org/officeDocument/2006/relationships/hyperlink" Target="https://www.endorlabs.com/learn/endor-labs-is-a-visionary-in-the-2026-gartner-r-magic-quadrant-tm-for-software-supply-chain-security" TargetMode="External"/><Relationship Id="rId19" Type="http://schemas.openxmlformats.org/officeDocument/2006/relationships/hyperlink" Target="https://fossa.com/" TargetMode="External"/><Relationship Id="rId20" Type="http://schemas.openxmlformats.org/officeDocument/2006/relationships/hyperlink" Target="https://fossa.com/pricing/" TargetMode="External"/><Relationship Id="rId21" Type="http://schemas.openxmlformats.org/officeDocument/2006/relationships/hyperlink" Target="https://docs.github.com/en/code-security/dependabot" TargetMode="External"/><Relationship Id="rId22" Type="http://schemas.openxmlformats.org/officeDocument/2006/relationships/hyperlink" Target="https://github.com/resources/insights/evolving-github-advanced-security" TargetMode="External"/><Relationship Id="rId23" Type="http://schemas.openxmlformats.org/officeDocument/2006/relationships/hyperlink" Target="https://www.hcl-software.com/appscan" TargetMode="External"/><Relationship Id="rId24" Type="http://schemas.openxmlformats.org/officeDocument/2006/relationships/hyperlink" Target="https://www.hcl-software.com/appscan" TargetMode="External"/><Relationship Id="rId25" Type="http://schemas.openxmlformats.org/officeDocument/2006/relationships/hyperlink" Target="https://jfrog.com/xray/" TargetMode="External"/><Relationship Id="rId26" Type="http://schemas.openxmlformats.org/officeDocument/2006/relationships/hyperlink" Target="https://jfrog.com/press-room/jfrog-embeds-security-into-the-agentic-workforce/" TargetMode="External"/><Relationship Id="rId27" Type="http://schemas.openxmlformats.org/officeDocument/2006/relationships/hyperlink" Target="https://konvu.com/" TargetMode="External"/><Relationship Id="rId28" Type="http://schemas.openxmlformats.org/officeDocument/2006/relationships/hyperlink" Target="https://konvu.com/blog/from-vulnerability-finding-to-exploit-proof" TargetMode="External"/><Relationship Id="rId29" Type="http://schemas.openxmlformats.org/officeDocument/2006/relationships/hyperlink" Target="https://www.lineaje.com/" TargetMode="External"/><Relationship Id="rId30" Type="http://schemas.openxmlformats.org/officeDocument/2006/relationships/hyperlink" Target="https://www.aol.com/articles/lineaje-recognized-visionary-2026-gartner-154300000.html" TargetMode="External"/><Relationship Id="rId31" Type="http://schemas.openxmlformats.org/officeDocument/2006/relationships/hyperlink" Target="https://www.mend.io/mend-sca/" TargetMode="External"/><Relationship Id="rId32" Type="http://schemas.openxmlformats.org/officeDocument/2006/relationships/hyperlink" Target="https://docs.mend.io/platform/latest/mend-platform-release-notes" TargetMode="External"/><Relationship Id="rId33" Type="http://schemas.openxmlformats.org/officeDocument/2006/relationships/hyperlink" Target="https://www.opentext.com/products/core-software-composition-analysis" TargetMode="External"/><Relationship Id="rId34" Type="http://schemas.openxmlformats.org/officeDocument/2006/relationships/hyperlink" Target="https://www.merito.com/vendors/opentext/core-open-source-select" TargetMode="External"/><Relationship Id="rId35" Type="http://schemas.openxmlformats.org/officeDocument/2006/relationships/hyperlink" Target="https://www.veracode.com/products/veracode-package-firewall/" TargetMode="External"/><Relationship Id="rId36" Type="http://schemas.openxmlformats.org/officeDocument/2006/relationships/hyperlink" Target="https://www.veracode.com/blog/introducing-veracode-package-firewall/" TargetMode="External"/><Relationship Id="rId37" Type="http://schemas.openxmlformats.org/officeDocument/2006/relationships/hyperlink" Target="https://scantist.com/products/sca" TargetMode="External"/><Relationship Id="rId38" Type="http://schemas.openxmlformats.org/officeDocument/2006/relationships/hyperlink" Target="https://scantist.com/pricing" TargetMode="External"/><Relationship Id="rId39" Type="http://schemas.openxmlformats.org/officeDocument/2006/relationships/hyperlink" Target="https://semgrep.dev/products/semgrep-supply-chain/" TargetMode="External"/><Relationship Id="rId40" Type="http://schemas.openxmlformats.org/officeDocument/2006/relationships/hyperlink" Target="https://semgrep.dev/docs/release-notes/march-2026" TargetMode="External"/><Relationship Id="rId41" Type="http://schemas.openxmlformats.org/officeDocument/2006/relationships/hyperlink" Target="https://snyk.io/product/open-source-security-management/" TargetMode="External"/><Relationship Id="rId42" Type="http://schemas.openxmlformats.org/officeDocument/2006/relationships/hyperlink" Target="https://docs.snyk.io/whats-new" TargetMode="External"/><Relationship Id="rId43" Type="http://schemas.openxmlformats.org/officeDocument/2006/relationships/hyperlink" Target="https://socket.dev/" TargetMode="External"/><Relationship Id="rId44" Type="http://schemas.openxmlformats.org/officeDocument/2006/relationships/hyperlink" Target="https://socket.dev/pricing" TargetMode="External"/><Relationship Id="rId45" Type="http://schemas.openxmlformats.org/officeDocument/2006/relationships/hyperlink" Target="https://www.sonatype.com/products/nexus-one-platform" TargetMode="External"/><Relationship Id="rId46" Type="http://schemas.openxmlformats.org/officeDocument/2006/relationships/hyperlink" Target="https://www.infoq.com/news/2026/03/sonatype-guide-safety-mcp-server" TargetMode="External"/><Relationship Id="rId47" Type="http://schemas.openxmlformats.org/officeDocument/2006/relationships/hyperlink" Target="https://www.veracode.com/products/software-composition-analysis/" TargetMode="External"/><Relationship Id="rId48" Type="http://schemas.openxmlformats.org/officeDocument/2006/relationships/hyperlink" Target="https://www.veracode.com/products/veracode-package-firewall/" TargetMode="External"/><Relationship Id="rId49" Type="http://schemas.openxmlformats.org/officeDocument/2006/relationships/hyperlink" Target="https://xygeni.io/open-source-security/" TargetMode="External"/><Relationship Id="rId50" Type="http://schemas.openxmlformats.org/officeDocument/2006/relationships/hyperlink" Target="https://www.capterra.co.uk/software/1043740/xygeni" TargetMode="External"/><Relationship Id="rId51" Type="http://schemas.openxmlformats.org/officeDocument/2006/relationships/hyperlink" Target="https://docs.gitlab.com/user/application_security/dependency_scanning/" TargetMode="External"/><Relationship Id="rId52" Type="http://schemas.openxmlformats.org/officeDocument/2006/relationships/hyperlink" Target="https://about.gitlab.com/direction/supply-chain/" TargetMode="External"/><Relationship Id="rId53" Type="http://schemas.openxmlformats.org/officeDocument/2006/relationships/hyperlink" Target="https://google.github.io/osv-scanner/" TargetMode="External"/><Relationship Id="rId54" Type="http://schemas.openxmlformats.org/officeDocument/2006/relationships/hyperlink" Target="https://blog.google/security/announcing-osv-scanner-v2-vulnerability/" TargetMode="External"/><Relationship Id="rId55" Type="http://schemas.openxmlformats.org/officeDocument/2006/relationships/hyperlink" Target="https://anchore.com/grype/" TargetMode="External"/><Relationship Id="rId56" Type="http://schemas.openxmlformats.org/officeDocument/2006/relationships/hyperlink" Target="https://github.com/anchore/grype/releases" TargetMode="External"/><Relationship Id="rId57" Type="http://schemas.openxmlformats.org/officeDocument/2006/relationships/hyperlink" Target="https://www.kusari.dev/" TargetMode="External"/><Relationship Id="rId58" Type="http://schemas.openxmlformats.org/officeDocument/2006/relationships/hyperlink" Target="https://www.businesswire.com/news/home/20250617157201/en/Introducing-Kusari-Inspector-Empowering-Developers-with-Real-Time-Software-Security-Insights-in-Every-Pull-Request" TargetMode="External"/><Relationship Id="rId59" Type="http://schemas.openxmlformats.org/officeDocument/2006/relationships/hyperlink" Target="https://owasp.org/www-project-dependency-check/" TargetMode="External"/><Relationship Id="rId60" Type="http://schemas.openxmlformats.org/officeDocument/2006/relationships/hyperlink" Target="https://github.com/dependency-check/DependencyCheck" TargetMode="External"/><Relationship Id="rId61" Type="http://schemas.openxmlformats.org/officeDocument/2006/relationships/hyperlink" Target="https://dependencytrack.org/" TargetMode="External"/><Relationship Id="rId62" Type="http://schemas.openxmlformats.org/officeDocument/2006/relationships/hyperlink" Target="https://dependencytrack.org/news/dependency-track-5-0/" TargetMode="External"/><Relationship Id="rId63" Type="http://schemas.openxmlformats.org/officeDocument/2006/relationships/hyperlink" Target="https://safedep.io/" TargetMode="External"/><Relationship Id="rId64" Type="http://schemas.openxmlformats.org/officeDocument/2006/relationships/hyperlink" Target="https://safedep.io/" TargetMode="External"/><Relationship Id="rId65" Type="http://schemas.openxmlformats.org/officeDocument/2006/relationships/hyperlink" Target="https://trivy.dev/" TargetMode="External"/><Relationship Id="rId66" Type="http://schemas.openxmlformats.org/officeDocument/2006/relationships/hyperlink" Target="https://github.com/aquasecurity/trivy-mcp" TargetMode="External"/><Relationship Id="rId67"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https://www.aikido.dev/" TargetMode="External"/><Relationship Id="rId2" Type="http://schemas.openxmlformats.org/officeDocument/2006/relationships/hyperlink" Target="https://www.aikido.dev/features/autofix" TargetMode="External"/><Relationship Id="rId3" Type="http://schemas.openxmlformats.org/officeDocument/2006/relationships/hyperlink" Target="https://www.arnica.io/use-cases/hard-code-secrets" TargetMode="External"/><Relationship Id="rId4" Type="http://schemas.openxmlformats.org/officeDocument/2006/relationships/hyperlink" Target="https://awards.thehackernews.com/winners/2026/arnica-agentic-code-security/" TargetMode="External"/><Relationship Id="rId5" Type="http://schemas.openxmlformats.org/officeDocument/2006/relationships/hyperlink" Target="https://www.blackduck.com/platform.html" TargetMode="External"/><Relationship Id="rId6" Type="http://schemas.openxmlformats.org/officeDocument/2006/relationships/hyperlink" Target="https://www.blackduck.com/blog/polaris-ai-security-updates-april-2026.html" TargetMode="External"/><Relationship Id="rId7" Type="http://schemas.openxmlformats.org/officeDocument/2006/relationships/hyperlink" Target="https://checkmarx.com/product/secrets-detection/" TargetMode="External"/><Relationship Id="rId8" Type="http://schemas.openxmlformats.org/officeDocument/2006/relationships/hyperlink" Target="https://checkmarx.com/product/secrets-detection/" TargetMode="External"/><Relationship Id="rId9" Type="http://schemas.openxmlformats.org/officeDocument/2006/relationships/hyperlink" Target="https://www.cremit.io/" TargetMode="External"/><Relationship Id="rId10" Type="http://schemas.openxmlformats.org/officeDocument/2006/relationships/hyperlink" Target="https://www.cremit.io/product" TargetMode="External"/><Relationship Id="rId11" Type="http://schemas.openxmlformats.org/officeDocument/2006/relationships/hyperlink" Target="https://cycode.com/secrets-detection/" TargetMode="External"/><Relationship Id="rId12"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13" Type="http://schemas.openxmlformats.org/officeDocument/2006/relationships/hyperlink" Target="https://entro.security/" TargetMode="External"/><Relationship Id="rId14" Type="http://schemas.openxmlformats.org/officeDocument/2006/relationships/hyperlink" Target="https://www.sailpoint.com/press-releases/sailpoint-announces-intent-to-acquire-entro-security" TargetMode="External"/><Relationship Id="rId15" Type="http://schemas.openxmlformats.org/officeDocument/2006/relationships/hyperlink" Target="https://www.gitguardian.com/" TargetMode="External"/><Relationship Id="rId16" Type="http://schemas.openxmlformats.org/officeDocument/2006/relationships/hyperlink" Target="https://docs.gitguardian.com/releases/saas/2026/09/07/changelog" TargetMode="External"/><Relationship Id="rId17" Type="http://schemas.openxmlformats.org/officeDocument/2006/relationships/hyperlink" Target="https://docs.github.com/en/code-security/secret-scanning/introduction/about-secret-scanning" TargetMode="External"/><Relationship Id="rId18" Type="http://schemas.openxmlformats.org/officeDocument/2006/relationships/hyperlink" Target="https://github.blog/changelog/2026-10-07-purpose-built-model-for-leaked-secret-detection/" TargetMode="External"/><Relationship Id="rId19" Type="http://schemas.openxmlformats.org/officeDocument/2006/relationships/hyperlink" Target="https://help.hcl-software.com/appscan/ASoC/src_secrets_scanning.html" TargetMode="External"/><Relationship Id="rId20" Type="http://schemas.openxmlformats.org/officeDocument/2006/relationships/hyperlink" Target="https://www.hcl-software.com/blog/appscan/hcl-appscan-360-v2.1-ai-application-security-with-faster-testing-and-automated-fixes" TargetMode="External"/><Relationship Id="rId21" Type="http://schemas.openxmlformats.org/officeDocument/2006/relationships/hyperlink" Target="https://developer.hashicorp.com/hcp/docs/vault-radar" TargetMode="External"/><Relationship Id="rId22" Type="http://schemas.openxmlformats.org/officeDocument/2006/relationships/hyperlink" Target="https://www.hashicorp.com/en/blog/hcp-vault-radar-agent-local-secret-scanning-at-enterprise-scale" TargetMode="External"/><Relationship Id="rId23" Type="http://schemas.openxmlformats.org/officeDocument/2006/relationships/hyperlink" Target="https://www.jit.io/" TargetMode="External"/><Relationship Id="rId24" Type="http://schemas.openxmlformats.org/officeDocument/2006/relationships/hyperlink" Target="https://www.jit.io/resources/jit-security/introducing-jits-agentic-appsec-platform-that-gets-real-work-done" TargetMode="External"/><Relationship Id="rId25" Type="http://schemas.openxmlformats.org/officeDocument/2006/relationships/hyperlink" Target="https://www.legitsecurity.com/" TargetMode="External"/><Relationship Id="rId26" Type="http://schemas.openxmlformats.org/officeDocument/2006/relationships/hyperlink" Target="https://www.legitsecurity.com/" TargetMode="External"/><Relationship Id="rId27" Type="http://schemas.openxmlformats.org/officeDocument/2006/relationships/hyperlink" Target="https://www.nightfall.ai/solutions/protect-secret-and-keys" TargetMode="External"/><Relationship Id="rId28" Type="http://schemas.openxmlformats.org/officeDocument/2006/relationships/hyperlink" Target="https://www.nightfall.ai/products/mcp-security" TargetMode="External"/><Relationship Id="rId29" Type="http://schemas.openxmlformats.org/officeDocument/2006/relationships/hyperlink" Target="https://www.opentext.com/products/static-application-security-testing" TargetMode="External"/><Relationship Id="rId30" Type="http://schemas.openxmlformats.org/officeDocument/2006/relationships/hyperlink" Target="https://blogs.opentext.com/opentext-fortify-remediation-aviator-audit-every-finding-fix-whats-real/" TargetMode="External"/><Relationship Id="rId31" Type="http://schemas.openxmlformats.org/officeDocument/2006/relationships/hyperlink" Target="https://semgrep.dev/products/semgrep-secrets/" TargetMode="External"/><Relationship Id="rId32" Type="http://schemas.openxmlformats.org/officeDocument/2006/relationships/hyperlink" Target="https://semgrep.dev/pricing/" TargetMode="External"/><Relationship Id="rId33" Type="http://schemas.openxmlformats.org/officeDocument/2006/relationships/hyperlink" Target="https://snyk.io/product/snyk-secrets/" TargetMode="External"/><Relationship Id="rId34" Type="http://schemas.openxmlformats.org/officeDocument/2006/relationships/hyperlink" Target="https://snyk.io/blog/snyk-secrets/" TargetMode="External"/><Relationship Id="rId35" Type="http://schemas.openxmlformats.org/officeDocument/2006/relationships/hyperlink" Target="https://spectralops.io/" TargetMode="External"/><Relationship Id="rId36" Type="http://schemas.openxmlformats.org/officeDocument/2006/relationships/hyperlink" Target="https://appsecsanta.com/spectralops" TargetMode="External"/><Relationship Id="rId37" Type="http://schemas.openxmlformats.org/officeDocument/2006/relationships/hyperlink" Target="https://www.veracode.com/products/container-security/" TargetMode="External"/><Relationship Id="rId38" Type="http://schemas.openxmlformats.org/officeDocument/2006/relationships/hyperlink" Target="https://docs.veracode.com/updates/r/c_all_static" TargetMode="External"/><Relationship Id="rId39" Type="http://schemas.openxmlformats.org/officeDocument/2006/relationships/hyperlink" Target="https://github.com/betterleaks/betterleaks" TargetMode="External"/><Relationship Id="rId40" Type="http://schemas.openxmlformats.org/officeDocument/2006/relationships/hyperlink" Target="https://www.helpnetsecurity.com/2026/03/19/betterleaks-open-source-secrets-scanner/" TargetMode="External"/><Relationship Id="rId41" Type="http://schemas.openxmlformats.org/officeDocument/2006/relationships/hyperlink" Target="https://github.com/Yelp/detect-secrets" TargetMode="External"/><Relationship Id="rId42" Type="http://schemas.openxmlformats.org/officeDocument/2006/relationships/hyperlink" Target="https://github.com/Yelp/detect-secrets" TargetMode="External"/><Relationship Id="rId43" Type="http://schemas.openxmlformats.org/officeDocument/2006/relationships/hyperlink" Target="https://github.com/GitGuardian/ggshield" TargetMode="External"/><Relationship Id="rId44" Type="http://schemas.openxmlformats.org/officeDocument/2006/relationships/hyperlink" Target="https://docs.gitguardian.com/releases/saas/2026/09/07/changelog" TargetMode="External"/><Relationship Id="rId45" Type="http://schemas.openxmlformats.org/officeDocument/2006/relationships/hyperlink" Target="https://docs.gitlab.com/user/application_security/secret_detection/" TargetMode="External"/><Relationship Id="rId46" Type="http://schemas.openxmlformats.org/officeDocument/2006/relationships/hyperlink" Target="https://docs.gitlab.com/user/application_security/secret_detection/" TargetMode="External"/><Relationship Id="rId47" Type="http://schemas.openxmlformats.org/officeDocument/2006/relationships/hyperlink" Target="https://github.com/gitleaks/gitleaks" TargetMode="External"/><Relationship Id="rId48" Type="http://schemas.openxmlformats.org/officeDocument/2006/relationships/hyperlink" Target="https://github.com/gitleaks/gitleaks" TargetMode="External"/><Relationship Id="rId49" Type="http://schemas.openxmlformats.org/officeDocument/2006/relationships/hyperlink" Target="https://trufflesecurity.com/trufflehog-enterprise" TargetMode="External"/><Relationship Id="rId50" Type="http://schemas.openxmlformats.org/officeDocument/2006/relationships/hyperlink" Target="https://trufflesecurity.com/docs/2026-september" TargetMode="External"/><Relationship Id="rId5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https://air.security/" TargetMode="External"/><Relationship Id="rId2" Type="http://schemas.openxmlformats.org/officeDocument/2006/relationships/hyperlink" Target="https://techcrunch.com/2026/09/01/air-raises-50m-to-help-companies-vet-the-skills-and-add-ons-ai-agents-use/" TargetMode="External"/><Relationship Id="rId3" Type="http://schemas.openxmlformats.org/officeDocument/2006/relationships/hyperlink" Target="https://anchore.com/platform/" TargetMode="External"/><Relationship Id="rId4" Type="http://schemas.openxmlformats.org/officeDocument/2006/relationships/hyperlink" Target="https://anchore.com/blog/extending-supply-chain-security-to-ai-models-with-anchore-enterprise-v6-2/" TargetMode="External"/><Relationship Id="rId5" Type="http://schemas.openxmlformats.org/officeDocument/2006/relationships/hyperlink" Target="https://www.blackduck.com/software-composition-analysis-tools/black-duck-sca.html" TargetMode="External"/><Relationship Id="rId6" Type="http://schemas.openxmlformats.org/officeDocument/2006/relationships/hyperlink" Target="https://www.blackduck.com/software-composition-analysis-tools/black-duck-sca.html" TargetMode="External"/><Relationship Id="rId7" Type="http://schemas.openxmlformats.org/officeDocument/2006/relationships/hyperlink" Target="https://checkmarx.com/product/sbom/" TargetMode="External"/><Relationship Id="rId8" Type="http://schemas.openxmlformats.org/officeDocument/2006/relationships/hyperlink" Target="https://vmblog.com/news/checkmarx-delivers-complete-ai-asset-visibility-and-governance-for-the-software-supply-chain-closing-the-shadow-ai-gap/" TargetMode="External"/><Relationship Id="rId9" Type="http://schemas.openxmlformats.org/officeDocument/2006/relationships/hyperlink" Target="https://www.cisco.com/site/us/en/products/security/ai-defense/index.html" TargetMode="External"/><Relationship Id="rId10" Type="http://schemas.openxmlformats.org/officeDocument/2006/relationships/hyperlink" Target="https://blogs.cisco.com/ai/know-your-ai-stack-introducing-ai-bom-in-cisco-ai-defense" TargetMode="External"/><Relationship Id="rId11" Type="http://schemas.openxmlformats.org/officeDocument/2006/relationships/hyperlink" Target="https://www.cybeats.com/sbom-studio" TargetMode="External"/><Relationship Id="rId12" Type="http://schemas.openxmlformats.org/officeDocument/2006/relationships/hyperlink" Target="https://www.cybeats.com/sbom-studio" TargetMode="External"/><Relationship Id="rId13" Type="http://schemas.openxmlformats.org/officeDocument/2006/relationships/hyperlink" Target="https://www.endorlabs.com/" TargetMode="External"/><Relationship Id="rId14" Type="http://schemas.openxmlformats.org/officeDocument/2006/relationships/hyperlink" Target="https://www.endorlabs.com/learn/endor-labs-is-a-visionary-in-the-2026-gartner-r-magic-quadrant-tm-for-software-supply-chain-security" TargetMode="External"/><Relationship Id="rId15" Type="http://schemas.openxmlformats.org/officeDocument/2006/relationships/hyperlink" Target="https://finitestate.io/platform" TargetMode="External"/><Relationship Id="rId16" Type="http://schemas.openxmlformats.org/officeDocument/2006/relationships/hyperlink" Target="https://finitestate.io/platform" TargetMode="External"/><Relationship Id="rId17" Type="http://schemas.openxmlformats.org/officeDocument/2006/relationships/hyperlink" Target="https://fossa.com/product/sbom-management/" TargetMode="External"/><Relationship Id="rId18" Type="http://schemas.openxmlformats.org/officeDocument/2006/relationships/hyperlink" Target="https://fossa.com/product/sbom-management/" TargetMode="External"/><Relationship Id="rId19" Type="http://schemas.openxmlformats.org/officeDocument/2006/relationships/hyperlink" Target="https://docs.github.com/en/code-security/supply-chain-security/understanding-your-software-supply-chain/exporting-a-software-bill-of-materials-for-your-repository" TargetMode="External"/><Relationship Id="rId20" Type="http://schemas.openxmlformats.org/officeDocument/2006/relationships/hyperlink" Target="https://docs.github.com/en/code-security/supply-chain-security/understanding-your-software-supply-chain/exporting-a-software-bill-of-materials-for-your-repository" TargetMode="External"/><Relationship Id="rId21" Type="http://schemas.openxmlformats.org/officeDocument/2006/relationships/hyperlink" Target="https://help.hcl-software.com/appscan/ASoC/ent_generate_report.html" TargetMode="External"/><Relationship Id="rId22" Type="http://schemas.openxmlformats.org/officeDocument/2006/relationships/hyperlink" Target="https://help.hcl-software.com/appscan/360/2.1.0/360_whats_new.html" TargetMode="External"/><Relationship Id="rId23" Type="http://schemas.openxmlformats.org/officeDocument/2006/relationships/hyperlink" Target="https://hiddenlayer.com/" TargetMode="External"/><Relationship Id="rId24" Type="http://schemas.openxmlformats.org/officeDocument/2006/relationships/hyperlink" Target="https://hiddenlayer.com/" TargetMode="External"/><Relationship Id="rId25" Type="http://schemas.openxmlformats.org/officeDocument/2006/relationships/hyperlink" Target="https://jfrog.com/xray/" TargetMode="External"/><Relationship Id="rId26" Type="http://schemas.openxmlformats.org/officeDocument/2006/relationships/hyperlink" Target="https://jfrog.com/blog/jfrog-named-a-leader-in-the-gartner-magic-quadrant/" TargetMode="External"/><Relationship Id="rId27" Type="http://schemas.openxmlformats.org/officeDocument/2006/relationships/hyperlink" Target="https://www.legitsecurity.com/" TargetMode="External"/><Relationship Id="rId28" Type="http://schemas.openxmlformats.org/officeDocument/2006/relationships/hyperlink" Target="https://www.legitsecurity.com/" TargetMode="External"/><Relationship Id="rId29" Type="http://schemas.openxmlformats.org/officeDocument/2006/relationships/hyperlink" Target="https://www.lineaje.com/" TargetMode="External"/><Relationship Id="rId30" Type="http://schemas.openxmlformats.org/officeDocument/2006/relationships/hyperlink" Target="https://finance.yahoo.com/technology/ai/articles/lineaje-recognized-visionary-2026-gartner-154300110.html" TargetMode="External"/><Relationship Id="rId31" Type="http://schemas.openxmlformats.org/officeDocument/2006/relationships/hyperlink" Target="https://www.manifestcyber.com/aibom" TargetMode="External"/><Relationship Id="rId32" Type="http://schemas.openxmlformats.org/officeDocument/2006/relationships/hyperlink" Target="https://www.manifestcyber.com/press/first-ai-risk-transparency-solution" TargetMode="External"/><Relationship Id="rId33" Type="http://schemas.openxmlformats.org/officeDocument/2006/relationships/hyperlink" Target="https://www.mend.io/mend-ai/" TargetMode="External"/><Relationship Id="rId34" Type="http://schemas.openxmlformats.org/officeDocument/2006/relationships/hyperlink" Target="https://www.mend.io/mend-ai/" TargetMode="External"/><Relationship Id="rId35" Type="http://schemas.openxmlformats.org/officeDocument/2006/relationships/hyperlink" Target="https://noma.security/" TargetMode="External"/><Relationship Id="rId36" Type="http://schemas.openxmlformats.org/officeDocument/2006/relationships/hyperlink" Target="https://noma.security/" TargetMode="External"/><Relationship Id="rId37" Type="http://schemas.openxmlformats.org/officeDocument/2006/relationships/hyperlink" Target="https://www.oligo.security/" TargetMode="External"/><Relationship Id="rId38" Type="http://schemas.openxmlformats.org/officeDocument/2006/relationships/hyperlink" Target="https://www.oligo.security/" TargetMode="External"/><Relationship Id="rId39" Type="http://schemas.openxmlformats.org/officeDocument/2006/relationships/hyperlink" Target="https://docs.debricked.com/product/exporting-sbom/sbom-export" TargetMode="External"/><Relationship Id="rId40" Type="http://schemas.openxmlformats.org/officeDocument/2006/relationships/hyperlink" Target="https://www.opentext.com/products/application-security-aviator" TargetMode="External"/><Relationship Id="rId41" Type="http://schemas.openxmlformats.org/officeDocument/2006/relationships/hyperlink" Target="https://www.paloaltonetworks.com/prisma/prisma-airs" TargetMode="External"/><Relationship Id="rId42" Type="http://schemas.openxmlformats.org/officeDocument/2006/relationships/hyperlink" Target="https://www.paloaltonetworks.com/company/press/2025/palo-alto-networks-completes-acquisition-of-protect-ai" TargetMode="External"/><Relationship Id="rId43" Type="http://schemas.openxmlformats.org/officeDocument/2006/relationships/hyperlink" Target="https://prompt.security/" TargetMode="External"/><Relationship Id="rId44" Type="http://schemas.openxmlformats.org/officeDocument/2006/relationships/hyperlink" Target="https://prompt.security/blog/prompt-security-sentinelone-a-new-chapter-begins" TargetMode="External"/><Relationship Id="rId45" Type="http://schemas.openxmlformats.org/officeDocument/2006/relationships/hyperlink" Target="https://safeguard.sh/" TargetMode="External"/><Relationship Id="rId46" Type="http://schemas.openxmlformats.org/officeDocument/2006/relationships/hyperlink" Target="https://safeguard.sh/" TargetMode="External"/><Relationship Id="rId47" Type="http://schemas.openxmlformats.org/officeDocument/2006/relationships/hyperlink" Target="https://scribesecurity.com/" TargetMode="External"/><Relationship Id="rId48" Type="http://schemas.openxmlformats.org/officeDocument/2006/relationships/hyperlink" Target="https://scribesecurity.com/" TargetMode="External"/><Relationship Id="rId49" Type="http://schemas.openxmlformats.org/officeDocument/2006/relationships/hyperlink" Target="https://docs.snyk.io/developer-tools/snyk-cli/commands/aibom.md" TargetMode="External"/><Relationship Id="rId50" Type="http://schemas.openxmlformats.org/officeDocument/2006/relationships/hyperlink" Target="https://docs.snyk.io/developer-tools/snyk-cli/commands/aibom.md" TargetMode="External"/><Relationship Id="rId51" Type="http://schemas.openxmlformats.org/officeDocument/2006/relationships/hyperlink" Target="https://www.sonatype.com/products/sbom-manager" TargetMode="External"/><Relationship Id="rId52" Type="http://schemas.openxmlformats.org/officeDocument/2006/relationships/hyperlink" Target="https://www.sonatype.com/products/sbom-manager" TargetMode="External"/><Relationship Id="rId53" Type="http://schemas.openxmlformats.org/officeDocument/2006/relationships/hyperlink" Target="https://docs.veracode.com/r/Supply_chain_management_and_SBOMs" TargetMode="External"/><Relationship Id="rId54" Type="http://schemas.openxmlformats.org/officeDocument/2006/relationships/hyperlink" Target="https://docs.veracode.com/updates/r/Veracode_CLI_Updates" TargetMode="External"/><Relationship Id="rId55" Type="http://schemas.openxmlformats.org/officeDocument/2006/relationships/hyperlink" Target="https://zeropath.com/products/aibom" TargetMode="External"/><Relationship Id="rId56" Type="http://schemas.openxmlformats.org/officeDocument/2006/relationships/hyperlink" Target="https://zeropath.com/products/aibom" TargetMode="External"/><Relationship Id="rId57" Type="http://schemas.openxmlformats.org/officeDocument/2006/relationships/hyperlink" Target="https://github.com/msaad00/agent-bom" TargetMode="External"/><Relationship Id="rId58" Type="http://schemas.openxmlformats.org/officeDocument/2006/relationships/hyperlink" Target="https://github.com/msaad00/agent-bom" TargetMode="External"/><Relationship Id="rId59" Type="http://schemas.openxmlformats.org/officeDocument/2006/relationships/hyperlink" Target="https://github.com/bomctl/bomctl" TargetMode="External"/><Relationship Id="rId60" Type="http://schemas.openxmlformats.org/officeDocument/2006/relationships/hyperlink" Target="https://github.com/bomctl/bomctl" TargetMode="External"/><Relationship Id="rId61" Type="http://schemas.openxmlformats.org/officeDocument/2006/relationships/hyperlink" Target="https://github.com/chainloop-dev/chainloop" TargetMode="External"/><Relationship Id="rId62" Type="http://schemas.openxmlformats.org/officeDocument/2006/relationships/hyperlink" Target="https://github.com/chainloop-dev/chainloop" TargetMode="External"/><Relationship Id="rId63" Type="http://schemas.openxmlformats.org/officeDocument/2006/relationships/hyperlink" Target="https://docs.gitlab.com/user/application_security/dependency_scanning/" TargetMode="External"/><Relationship Id="rId64" Type="http://schemas.openxmlformats.org/officeDocument/2006/relationships/hyperlink" Target="https://docs.gitlab.com/user/application_security/dependency_scanning/" TargetMode="External"/><Relationship Id="rId65" Type="http://schemas.openxmlformats.org/officeDocument/2006/relationships/hyperlink" Target="https://github.com/interlynk-io/sbomqs" TargetMode="External"/><Relationship Id="rId66" Type="http://schemas.openxmlformats.org/officeDocument/2006/relationships/hyperlink" Target="https://github.com/interlynk-io/sbomqs" TargetMode="External"/><Relationship Id="rId67" Type="http://schemas.openxmlformats.org/officeDocument/2006/relationships/hyperlink" Target="https://www.kusari.dev/" TargetMode="External"/><Relationship Id="rId68" Type="http://schemas.openxmlformats.org/officeDocument/2006/relationships/hyperlink" Target="https://www.kusari.dev/" TargetMode="External"/><Relationship Id="rId69" Type="http://schemas.openxmlformats.org/officeDocument/2006/relationships/hyperlink" Target="https://github.com/microsoft/sbom-tool" TargetMode="External"/><Relationship Id="rId70" Type="http://schemas.openxmlformats.org/officeDocument/2006/relationships/hyperlink" Target="https://github.com/microsoft/sbom-tool" TargetMode="External"/><Relationship Id="rId71" Type="http://schemas.openxmlformats.org/officeDocument/2006/relationships/hyperlink" Target="https://owasp-genai-aibom.org/" TargetMode="External"/><Relationship Id="rId72" Type="http://schemas.openxmlformats.org/officeDocument/2006/relationships/hyperlink" Target="https://github.com/aetheris-ai/aibom-generator" TargetMode="External"/><Relationship Id="rId73" Type="http://schemas.openxmlformats.org/officeDocument/2006/relationships/hyperlink" Target="https://cyclonedx.org/tool-center/" TargetMode="External"/><Relationship Id="rId74" Type="http://schemas.openxmlformats.org/officeDocument/2006/relationships/hyperlink" Target="https://github.com/CycloneDX/cdxgen/releases/latest" TargetMode="External"/><Relationship Id="rId75" Type="http://schemas.openxmlformats.org/officeDocument/2006/relationships/hyperlink" Target="https://dependencytrack.org/" TargetMode="External"/><Relationship Id="rId76" Type="http://schemas.openxmlformats.org/officeDocument/2006/relationships/hyperlink" Target="https://docs.dependencytrack.org/changelog/" TargetMode="External"/><Relationship Id="rId77" Type="http://schemas.openxmlformats.org/officeDocument/2006/relationships/hyperlink" Target="https://github.com/eBay/sbom-scorecard" TargetMode="External"/><Relationship Id="rId78" Type="http://schemas.openxmlformats.org/officeDocument/2006/relationships/hyperlink" Target="https://github.com/eBay/sbom-scorecard" TargetMode="External"/><Relationship Id="rId79" Type="http://schemas.openxmlformats.org/officeDocument/2006/relationships/hyperlink" Target="https://spdx.dev/use/tools/" TargetMode="External"/><Relationship Id="rId80" Type="http://schemas.openxmlformats.org/officeDocument/2006/relationships/hyperlink" Target="https://spdx.github.io/spdx-spec/v3.0.1/model/AI/AI/" TargetMode="External"/><Relationship Id="rId81" Type="http://schemas.openxmlformats.org/officeDocument/2006/relationships/hyperlink" Target="https://github.com/anchore/syft" TargetMode="External"/><Relationship Id="rId82" Type="http://schemas.openxmlformats.org/officeDocument/2006/relationships/hyperlink" Target="https://anchore.com/blog/extending-supply-chain-security-to-ai-models-with-anchore-enterprise-v6-2/" TargetMode="External"/><Relationship Id="rId83" Type="http://schemas.openxmlformats.org/officeDocument/2006/relationships/hyperlink" Target="https://trivy.dev/latest/docs/supply-chain/sbom/" TargetMode="External"/><Relationship Id="rId84" Type="http://schemas.openxmlformats.org/officeDocument/2006/relationships/hyperlink" Target="https://trivy.dev/latest/docs/supply-chain/vex/" TargetMode="External"/><Relationship Id="rId85"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https://github.com/awslabs/threat-modeling-mcp-server" TargetMode="External"/><Relationship Id="rId2" Type="http://schemas.openxmlformats.org/officeDocument/2006/relationships/hyperlink" Target="https://github.com/awslabs/threat-composer/releases" TargetMode="External"/><Relationship Id="rId3" Type="http://schemas.openxmlformats.org/officeDocument/2006/relationships/hyperlink" Target="https://www.aptori.com/" TargetMode="External"/><Relationship Id="rId4" Type="http://schemas.openxmlformats.org/officeDocument/2006/relationships/hyperlink" Target="https://www.aptori.com/" TargetMode="External"/><Relationship Id="rId5" Type="http://schemas.openxmlformats.org/officeDocument/2006/relationships/hyperlink" Target="https://www.aristiun.com/automated-threat-modeling-using-ai" TargetMode="External"/><Relationship Id="rId6" Type="http://schemas.openxmlformats.org/officeDocument/2006/relationships/hyperlink" Target="https://www.aristiun.com/automated-threat-modeling-using-ai" TargetMode="External"/><Relationship Id="rId7" Type="http://schemas.openxmlformats.org/officeDocument/2006/relationships/hyperlink" Target="https://www.devarmor.com/" TargetMode="External"/><Relationship Id="rId8" Type="http://schemas.openxmlformats.org/officeDocument/2006/relationships/hyperlink" Target="https://www.devarmor.com/" TargetMode="External"/><Relationship Id="rId9" Type="http://schemas.openxmlformats.org/officeDocument/2006/relationships/hyperlink" Target="https://www.securitycompass.com/devici/" TargetMode="External"/><Relationship Id="rId10" Type="http://schemas.openxmlformats.org/officeDocument/2006/relationships/hyperlink" Target="https://www.securitycompass.com/devici/ai-infusion/" TargetMode="External"/><Relationship Id="rId11" Type="http://schemas.openxmlformats.org/officeDocument/2006/relationships/hyperlink" Target="https://www.iriusrisk.com/" TargetMode="External"/><Relationship Id="rId12" Type="http://schemas.openxmlformats.org/officeDocument/2006/relationships/hyperlink" Target="https://www.iriusrisk.com/ai-threat-modeling" TargetMode="External"/><Relationship Id="rId13" Type="http://schemas.openxmlformats.org/officeDocument/2006/relationships/hyperlink" Target="https://github.com/mrwadams/stride-gpt/blob/master/docs/operationalization-guide.md" TargetMode="External"/><Relationship Id="rId14" Type="http://schemas.openxmlformats.org/officeDocument/2006/relationships/hyperlink" Target="https://xvnpw.github.io/posts/scaling-threat-modeling-with-ai/" TargetMode="External"/><Relationship Id="rId15" Type="http://schemas.openxmlformats.org/officeDocument/2006/relationships/hyperlink" Target="https://cloudsecurityalliance.org/blog/2025/02/06/agentic-ai-threat-modeling-framework-maestro" TargetMode="External"/><Relationship Id="rId16" Type="http://schemas.openxmlformats.org/officeDocument/2006/relationships/hyperlink" Target="https://www.securitycompass.com/devici/ai-infusion/" TargetMode="External"/><Relationship Id="rId17" Type="http://schemas.openxmlformats.org/officeDocument/2006/relationships/hyperlink" Target="https://learn.microsoft.com/en-us/security/engineering/threat-modeling-aiml" TargetMode="External"/><Relationship Id="rId18" Type="http://schemas.openxmlformats.org/officeDocument/2006/relationships/hyperlink" Target="https://learn.microsoft.com/en-us/security/engineering/threat-modeling-aiml" TargetMode="External"/><Relationship Id="rId19" Type="http://schemas.openxmlformats.org/officeDocument/2006/relationships/hyperlink" Target="https://learn.microsoft.com/en-us/security/engineering/threat-modeling-aiml" TargetMode="External"/><Relationship Id="rId20" Type="http://schemas.openxmlformats.org/officeDocument/2006/relationships/hyperlink" Target="https://learn.microsoft.com/en-us/security/engineering/threat-modeling-aiml" TargetMode="External"/><Relationship Id="rId21" Type="http://schemas.openxmlformats.org/officeDocument/2006/relationships/hyperlink" Target="https://learn.microsoft.com/en-us/azure/security/develop/threat-modeling-tool" TargetMode="External"/><Relationship Id="rId22" Type="http://schemas.openxmlformats.org/officeDocument/2006/relationships/hyperlink" Target="https://learn.microsoft.com/en-us/azure/security/develop/threat-modeling-tool-releases" TargetMode="External"/><Relationship Id="rId23" Type="http://schemas.openxmlformats.org/officeDocument/2006/relationships/hyperlink" Target="https://atlas.mitre.org/" TargetMode="External"/><Relationship Id="rId24" Type="http://schemas.openxmlformats.org/officeDocument/2006/relationships/hyperlink" Target="https://github.com/mrwadams/stride-gpt" TargetMode="External"/><Relationship Id="rId25" Type="http://schemas.openxmlformats.org/officeDocument/2006/relationships/hyperlink" Target="https://www.nist.gov/itl/ai-risk-management-framework" TargetMode="External"/><Relationship Id="rId26" Type="http://schemas.openxmlformats.org/officeDocument/2006/relationships/hyperlink" Target="https://www.nist.gov/itl/ai-risk-management-framework" TargetMode="External"/><Relationship Id="rId27" Type="http://schemas.openxmlformats.org/officeDocument/2006/relationships/hyperlink" Target="https://www.oplane.com/" TargetMode="External"/><Relationship Id="rId28" Type="http://schemas.openxmlformats.org/officeDocument/2006/relationships/hyperlink" Target="https://www.oplane.com/" TargetMode="External"/><Relationship Id="rId29" Type="http://schemas.openxmlformats.org/officeDocument/2006/relationships/hyperlink" Target="https://genai.owasp.org/initiatives/agentic-security-initiative/" TargetMode="External"/><Relationship Id="rId30" Type="http://schemas.openxmlformats.org/officeDocument/2006/relationships/hyperlink" Target="https://genai.owasp.org/initiatives/agentic-security-initiative/" TargetMode="External"/><Relationship Id="rId31" Type="http://schemas.openxmlformats.org/officeDocument/2006/relationships/hyperlink" Target="https://owaspai.org/" TargetMode="External"/><Relationship Id="rId32" Type="http://schemas.openxmlformats.org/officeDocument/2006/relationships/hyperlink" Target="https://owaspai.org/" TargetMode="External"/><Relationship Id="rId33" Type="http://schemas.openxmlformats.org/officeDocument/2006/relationships/hyperlink" Target="https://owasp.org/www-project-cornucopia/" TargetMode="External"/><Relationship Id="rId34" Type="http://schemas.openxmlformats.org/officeDocument/2006/relationships/hyperlink" Target="https://owasp.org/www-project-cornucopia/" TargetMode="External"/><Relationship Id="rId35" Type="http://schemas.openxmlformats.org/officeDocument/2006/relationships/hyperlink" Target="https://genai.owasp.org/llm-top-10/" TargetMode="External"/><Relationship Id="rId36" Type="http://schemas.openxmlformats.org/officeDocument/2006/relationships/hyperlink" Target="https://genai.owasp.org/" TargetMode="External"/><Relationship Id="rId37" Type="http://schemas.openxmlformats.org/officeDocument/2006/relationships/hyperlink" Target="https://www.primesec.ai/" TargetMode="External"/><Relationship Id="rId38" Type="http://schemas.openxmlformats.org/officeDocument/2006/relationships/hyperlink" Target="https://www.primesec.ai/ai-security-architect" TargetMode="External"/><Relationship Id="rId39" Type="http://schemas.openxmlformats.org/officeDocument/2006/relationships/hyperlink" Target="https://www.securitycompass.com/sdelements/" TargetMode="External"/><Relationship Id="rId40" Type="http://schemas.openxmlformats.org/officeDocument/2006/relationships/hyperlink" Target="https://www.securitycompass.com/sdelements/navigator/" TargetMode="External"/><Relationship Id="rId41" Type="http://schemas.openxmlformats.org/officeDocument/2006/relationships/hyperlink" Target="https://foreseeti.com/" TargetMode="External"/><Relationship Id="rId42" Type="http://schemas.openxmlformats.org/officeDocument/2006/relationships/hyperlink" Target="https://foreseeti.com/" TargetMode="External"/><Relationship Id="rId43" Type="http://schemas.openxmlformats.org/officeDocument/2006/relationships/hyperlink" Target="https://seezo.io/" TargetMode="External"/><Relationship Id="rId44" Type="http://schemas.openxmlformats.org/officeDocument/2006/relationships/hyperlink" Target="https://seezo.io/" TargetMode="External"/><Relationship Id="rId45" Type="http://schemas.openxmlformats.org/officeDocument/2006/relationships/hyperlink" Target="https://shostack.org/resources/threat-modeling" TargetMode="External"/><Relationship Id="rId46" Type="http://schemas.openxmlformats.org/officeDocument/2006/relationships/hyperlink" Target="https://shostack.org/resources/threat-modeling" TargetMode="External"/><Relationship Id="rId47" Type="http://schemas.openxmlformats.org/officeDocument/2006/relationships/hyperlink" Target="https://www.secureflag.com/threat-modeling/" TargetMode="External"/><Relationship Id="rId48" Type="http://schemas.openxmlformats.org/officeDocument/2006/relationships/hyperlink" Target="https://blog.secureflag.com/2026/01/13/code-repo-to-threatcanvas/" TargetMode="External"/><Relationship Id="rId49" Type="http://schemas.openxmlformats.org/officeDocument/2006/relationships/hyperlink" Target="https://www.threatmodeler.ai/" TargetMode="External"/><Relationship Id="rId50" Type="http://schemas.openxmlformats.org/officeDocument/2006/relationships/hyperlink" Target="https://www.threatmodeler.ai/products/cloudmodeler" TargetMode="External"/><Relationship Id="rId51" Type="http://schemas.openxmlformats.org/officeDocument/2006/relationships/hyperlink" Target="https://www.tidalcyber.com/" TargetMode="External"/><Relationship Id="rId52" Type="http://schemas.openxmlformats.org/officeDocument/2006/relationships/hyperlink" Target="https://www.tidalcyber.com/" TargetMode="External"/><Relationship Id="rId53" Type="http://schemas.openxmlformats.org/officeDocument/2006/relationships/hyperlink" Target="https://tutamantic.com/" TargetMode="External"/><Relationship Id="rId54" Type="http://schemas.openxmlformats.org/officeDocument/2006/relationships/hyperlink" Target="https://tutamantic.com/" TargetMode="External"/><Relationship Id="rId55" Type="http://schemas.openxmlformats.org/officeDocument/2006/relationships/hyperlink" Target="https://github.com/cairis-platform/cairis" TargetMode="External"/><Relationship Id="rId56" Type="http://schemas.openxmlformats.org/officeDocument/2006/relationships/hyperlink" Target="https://github.com/cairis-platform/cairis" TargetMode="External"/><Relationship Id="rId57" Type="http://schemas.openxmlformats.org/officeDocument/2006/relationships/hyperlink" Target="https://github.com/OWASP/pytm" TargetMode="External"/><Relationship Id="rId58" Type="http://schemas.openxmlformats.org/officeDocument/2006/relationships/hyperlink" Target="https://github.com/OWASP/pytm" TargetMode="External"/><Relationship Id="rId59" Type="http://schemas.openxmlformats.org/officeDocument/2006/relationships/hyperlink" Target="https://github.com/OWASP/threat-dragon" TargetMode="External"/><Relationship Id="rId60" Type="http://schemas.openxmlformats.org/officeDocument/2006/relationships/hyperlink" Target="https://owasp.org/www-project-threat-dragon/" TargetMode="External"/><Relationship Id="rId61" Type="http://schemas.openxmlformats.org/officeDocument/2006/relationships/hyperlink" Target="https://www.precogly.org/" TargetMode="External"/><Relationship Id="rId62" Type="http://schemas.openxmlformats.org/officeDocument/2006/relationships/hyperlink" Target="https://www.precogly.org/" TargetMode="External"/><Relationship Id="rId63" Type="http://schemas.openxmlformats.org/officeDocument/2006/relationships/hyperlink" Target="https://github.com/RedHatProductSecurity/agentic-threat-modeling" TargetMode="External"/><Relationship Id="rId64" Type="http://schemas.openxmlformats.org/officeDocument/2006/relationships/hyperlink" Target="https://developers.redhat.com/articles/2026/09/21/ai-threat-modeling-shouldnt-be-a-bottleneck-so-we-open-sourced-ours" TargetMode="External"/><Relationship Id="rId65" Type="http://schemas.openxmlformats.org/officeDocument/2006/relationships/hyperlink" Target="https://github.com/mrwadams/stride-gpt" TargetMode="External"/><Relationship Id="rId66" Type="http://schemas.openxmlformats.org/officeDocument/2006/relationships/hyperlink" Target="https://github.com/mrwadams/stride-gpt" TargetMode="External"/><Relationship Id="rId67" Type="http://schemas.openxmlformats.org/officeDocument/2006/relationships/hyperlink" Target="https://github.com/Threagile/threagile" TargetMode="External"/><Relationship Id="rId68" Type="http://schemas.openxmlformats.org/officeDocument/2006/relationships/hyperlink" Target="https://github.com/Threagile/threagile" TargetMode="External"/><Relationship Id="rId69" Type="http://schemas.openxmlformats.org/officeDocument/2006/relationships/hyperlink" Target="https://github.com/awslabs/threat-composer" TargetMode="External"/><Relationship Id="rId70" Type="http://schemas.openxmlformats.org/officeDocument/2006/relationships/hyperlink" Target="https://github.com/awslabs/threat-composer/releases" TargetMode="External"/><Relationship Id="rId71" Type="http://schemas.openxmlformats.org/officeDocument/2006/relationships/hyperlink" Target="https://github.com/DataDog/threatest" TargetMode="External"/><Relationship Id="rId72" Type="http://schemas.openxmlformats.org/officeDocument/2006/relationships/hyperlink" Target="https://github.com/DataDog/threatest" TargetMode="External"/><Relationship Id="rId73" Type="http://schemas.openxmlformats.org/officeDocument/2006/relationships/hyperlink" Target="https://github.com/threatspec/threatspec" TargetMode="External"/><Relationship Id="rId74" Type="http://schemas.openxmlformats.org/officeDocument/2006/relationships/hyperlink" Target="https://github.com/threatspec/threatspec" TargetMode="External"/><Relationship Id="rId75"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hyperlink" Target="https://www.aptori.com/" TargetMode="External"/><Relationship Id="rId2" Type="http://schemas.openxmlformats.org/officeDocument/2006/relationships/hyperlink" Target="https://www.helpnetsecurity.com/2026/04/27/aptori-autonomous-offensive-testing-capabilities/" TargetMode="External"/><Relationship Id="rId3" Type="http://schemas.openxmlformats.org/officeDocument/2006/relationships/hyperlink" Target="https://www.armorcode.com/platform" TargetMode="External"/><Relationship Id="rId4" Type="http://schemas.openxmlformats.org/officeDocument/2006/relationships/hyperlink" Target="https://www.armorcode.com/platform" TargetMode="External"/><Relationship Id="rId5" Type="http://schemas.openxmlformats.org/officeDocument/2006/relationships/hyperlink" Target="https://www.convisoappsec.com/conviso-platform" TargetMode="External"/><Relationship Id="rId6" Type="http://schemas.openxmlformats.org/officeDocument/2006/relationships/hyperlink" Target="https://blog.convisoappsec.com/en/automation-of-security-requirements-with-the-conviso-platform-api/" TargetMode="External"/><Relationship Id="rId7" Type="http://schemas.openxmlformats.org/officeDocument/2006/relationships/hyperlink" Target="https://www.securitycompass.com/devici/" TargetMode="External"/><Relationship Id="rId8" Type="http://schemas.openxmlformats.org/officeDocument/2006/relationships/hyperlink" Target="https://www.securitycompass.com/devici/" TargetMode="External"/><Relationship Id="rId9" Type="http://schemas.openxmlformats.org/officeDocument/2006/relationships/hyperlink" Target="https://www.ibm.com/products/requirements-management" TargetMode="External"/><Relationship Id="rId10" Type="http://schemas.openxmlformats.org/officeDocument/2006/relationships/hyperlink" Target="https://www.ibm.com/products/requirements-management" TargetMode="External"/><Relationship Id="rId11" Type="http://schemas.openxmlformats.org/officeDocument/2006/relationships/hyperlink" Target="https://www.iriusrisk.com/threat-modeling-platform" TargetMode="External"/><Relationship Id="rId12" Type="http://schemas.openxmlformats.org/officeDocument/2006/relationships/hyperlink" Target="https://www.iriusrisk.com/documentation/use-our-ai-assistant-jeff" TargetMode="External"/><Relationship Id="rId13" Type="http://schemas.openxmlformats.org/officeDocument/2006/relationships/hyperlink" Target="https://www.jamasoftware.com/platform/jama-connect/" TargetMode="External"/><Relationship Id="rId14" Type="http://schemas.openxmlformats.org/officeDocument/2006/relationships/hyperlink" Target="https://www.jamasoftware.com/platform/jama-connect/" TargetMode="External"/><Relationship Id="rId15" Type="http://schemas.openxmlformats.org/officeDocument/2006/relationships/hyperlink" Target="https://marketplace.atlassian.com/apps/1212220/requirement-yogi-for-jira" TargetMode="External"/><Relationship Id="rId16" Type="http://schemas.openxmlformats.org/officeDocument/2006/relationships/hyperlink" Target="https://www.getxray.app/" TargetMode="External"/><Relationship Id="rId17" Type="http://schemas.openxmlformats.org/officeDocument/2006/relationships/hyperlink" Target="https://www.jit.io/aspm-platform/security-plans" TargetMode="External"/><Relationship Id="rId18" Type="http://schemas.openxmlformats.org/officeDocument/2006/relationships/hyperlink" Target="https://appsecsanta.com/jit" TargetMode="External"/><Relationship Id="rId19" Type="http://schemas.openxmlformats.org/officeDocument/2006/relationships/hyperlink" Target="https://www.invicti.com/" TargetMode="External"/><Relationship Id="rId20" Type="http://schemas.openxmlformats.org/officeDocument/2006/relationships/hyperlink" Target="https://www.invicti.com/blog/news/invicti-acquires-kondukto-to-deliver-proof-based-aspm" TargetMode="External"/><Relationship Id="rId21" Type="http://schemas.openxmlformats.org/officeDocument/2006/relationships/hyperlink" Target="https://cheatsheetseries.owasp.org/" TargetMode="External"/><Relationship Id="rId22" Type="http://schemas.openxmlformats.org/officeDocument/2006/relationships/hyperlink" Target="https://cheatsheetseries.owasp.org/" TargetMode="External"/><Relationship Id="rId23" Type="http://schemas.openxmlformats.org/officeDocument/2006/relationships/hyperlink" Target="https://github.com/OWASP/ASVS" TargetMode="External"/><Relationship Id="rId24" Type="http://schemas.openxmlformats.org/officeDocument/2006/relationships/hyperlink" Target="https://medium.com/@clintcan/building-an-owasp-asvs-mcp-server-eb56ace0ceb8" TargetMode="External"/><Relationship Id="rId25" Type="http://schemas.openxmlformats.org/officeDocument/2006/relationships/hyperlink" Target="https://mas.owasp.org/" TargetMode="External"/><Relationship Id="rId26" Type="http://schemas.openxmlformats.org/officeDocument/2006/relationships/hyperlink" Target="https://mas.owasp.org/" TargetMode="External"/><Relationship Id="rId27" Type="http://schemas.openxmlformats.org/officeDocument/2006/relationships/hyperlink" Target="https://owaspsamm.org/" TargetMode="External"/><Relationship Id="rId28" Type="http://schemas.openxmlformats.org/officeDocument/2006/relationships/hyperlink" Target="https://owaspsamm.org/blog/" TargetMode="External"/><Relationship Id="rId29" Type="http://schemas.openxmlformats.org/officeDocument/2006/relationships/hyperlink" Target="https://www.primesec.ai/" TargetMode="External"/><Relationship Id="rId30" Type="http://schemas.openxmlformats.org/officeDocument/2006/relationships/hyperlink" Target="https://www.primesec.ai/resources/prime-security-is-now-ga" TargetMode="External"/><Relationship Id="rId31" Type="http://schemas.openxmlformats.org/officeDocument/2006/relationships/hyperlink" Target="https://www.remysec.com/" TargetMode="External"/><Relationship Id="rId32" Type="http://schemas.openxmlformats.org/officeDocument/2006/relationships/hyperlink" Target="https://www.ycombinator.com/companies/remy-security" TargetMode="External"/><Relationship Id="rId33" Type="http://schemas.openxmlformats.org/officeDocument/2006/relationships/hyperlink" Target="https://requirementone.com/" TargetMode="External"/><Relationship Id="rId34" Type="http://schemas.openxmlformats.org/officeDocument/2006/relationships/hyperlink" Target="https://requirementone.com/" TargetMode="External"/><Relationship Id="rId35" Type="http://schemas.openxmlformats.org/officeDocument/2006/relationships/hyperlink" Target="https://sammy.codific.com/" TargetMode="External"/><Relationship Id="rId36" Type="http://schemas.openxmlformats.org/officeDocument/2006/relationships/hyperlink" Target="https://sammy.codific.com/" TargetMode="External"/><Relationship Id="rId37" Type="http://schemas.openxmlformats.org/officeDocument/2006/relationships/hyperlink" Target="https://www.securitycompass.com/sdelements/" TargetMode="External"/><Relationship Id="rId38" Type="http://schemas.openxmlformats.org/officeDocument/2006/relationships/hyperlink" Target="https://docs.sdelements.com/master/guide/docs/release_notes/" TargetMode="External"/><Relationship Id="rId39" Type="http://schemas.openxmlformats.org/officeDocument/2006/relationships/hyperlink" Target="https://www.securecodewarrior.com/product/ai-software-governance" TargetMode="External"/><Relationship Id="rId40" Type="http://schemas.openxmlformats.org/officeDocument/2006/relationships/hyperlink" Target="https://www.helpnetsecurity.com/2026/03/17/secure-code-warrior-trust-agent-ai-governance/" TargetMode="External"/><Relationship Id="rId41" Type="http://schemas.openxmlformats.org/officeDocument/2006/relationships/hyperlink" Target="https://seezo.io/" TargetMode="External"/><Relationship Id="rId42" Type="http://schemas.openxmlformats.org/officeDocument/2006/relationships/hyperlink" Target="https://seezo.io/" TargetMode="External"/><Relationship Id="rId43" Type="http://schemas.openxmlformats.org/officeDocument/2006/relationships/hyperlink" Target="https://www.threatmodeler.ai/platform" TargetMode="External"/><Relationship Id="rId44" Type="http://schemas.openxmlformats.org/officeDocument/2006/relationships/hyperlink" Target="https://www.helpnetsecurity.com/2026/06/26/threatmodeler-introduces-nexus-to-automate-threat-modeling-with-ai-governance/" TargetMode="External"/><Relationship Id="rId45" Type="http://schemas.openxmlformats.org/officeDocument/2006/relationships/hyperlink" Target="https://www.tromzo.com/" TargetMode="External"/><Relationship Id="rId46" Type="http://schemas.openxmlformats.org/officeDocument/2006/relationships/hyperlink" Target="https://checkmarx.com/press-releases/checkmarx-acquires-tromzo-to-launch-new-era-of-application-security/" TargetMode="External"/><Relationship Id="rId47" Type="http://schemas.openxmlformats.org/officeDocument/2006/relationships/hyperlink" Target="https://docs.gitlab.com/user/application_security/" TargetMode="External"/><Relationship Id="rId48" Type="http://schemas.openxmlformats.org/officeDocument/2006/relationships/hyperlink" Target="https://docs.gitlab.com/user/application_security/" TargetMode="External"/><Relationship Id="rId49" Type="http://schemas.openxmlformats.org/officeDocument/2006/relationships/hyperlink" Target="https://github.com/OWASP/ASVS" TargetMode="External"/><Relationship Id="rId50" Type="http://schemas.openxmlformats.org/officeDocument/2006/relationships/hyperlink" Target="https://medium.com/@clintcan/building-an-owasp-asvs-mcp-server-eb56ace0ceb8" TargetMode="External"/><Relationship Id="rId51" Type="http://schemas.openxmlformats.org/officeDocument/2006/relationships/hyperlink" Target="https://www.opencre.org/" TargetMode="External"/><Relationship Id="rId52" Type="http://schemas.openxmlformats.org/officeDocument/2006/relationships/hyperlink" Target="https://www.opencre.org/" TargetMode="External"/><Relationship Id="rId53" Type="http://schemas.openxmlformats.org/officeDocument/2006/relationships/hyperlink" Target="https://dsomm.owasp.org/" TargetMode="External"/><Relationship Id="rId54" Type="http://schemas.openxmlformats.org/officeDocument/2006/relationships/hyperlink" Target="https://github.com/devsecopsmaturitymodel/DevSecOps-MaturityModel" TargetMode="External"/><Relationship Id="rId55" Type="http://schemas.openxmlformats.org/officeDocument/2006/relationships/hyperlink" Target="https://securityrat.org/" TargetMode="External"/><Relationship Id="rId56" Type="http://schemas.openxmlformats.org/officeDocument/2006/relationships/hyperlink" Target="https://github.com/SecurityRAT/SecurityRAT" TargetMode="External"/><Relationship Id="rId57"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hyperlink" Target="https://www.aikido.dev/" TargetMode="External"/><Relationship Id="rId2" Type="http://schemas.openxmlformats.org/officeDocument/2006/relationships/hyperlink" Target="https://www.aikido.dev/blog/aikido-altar-open-weight-ai-sovereign-security" TargetMode="External"/><Relationship Id="rId3" Type="http://schemas.openxmlformats.org/officeDocument/2006/relationships/hyperlink" Target="https://www.amplify.security/" TargetMode="External"/><Relationship Id="rId4" Type="http://schemas.openxmlformats.org/officeDocument/2006/relationships/hyperlink" Target="https://www.amplify.security/" TargetMode="External"/><Relationship Id="rId5" Type="http://schemas.openxmlformats.org/officeDocument/2006/relationships/hyperlink" Target="https://apiiro.com/" TargetMode="External"/><Relationship Id="rId6" Type="http://schemas.openxmlformats.org/officeDocument/2006/relationships/hyperlink" Target="https://apiiro.com/" TargetMode="External"/><Relationship Id="rId7" Type="http://schemas.openxmlformats.org/officeDocument/2006/relationships/hyperlink" Target="https://aptori.com/" TargetMode="External"/><Relationship Id="rId8" Type="http://schemas.openxmlformats.org/officeDocument/2006/relationships/hyperlink" Target="https://aptori.com/" TargetMode="External"/><Relationship Id="rId9" Type="http://schemas.openxmlformats.org/officeDocument/2006/relationships/hyperlink" Target="https://www.armorcode.com/" TargetMode="External"/><Relationship Id="rId10" Type="http://schemas.openxmlformats.org/officeDocument/2006/relationships/hyperlink" Target="https://www.armorcode.com/" TargetMode="External"/><Relationship Id="rId11" Type="http://schemas.openxmlformats.org/officeDocument/2006/relationships/hyperlink" Target="https://www.blackduck.com/" TargetMode="External"/><Relationship Id="rId12" Type="http://schemas.openxmlformats.org/officeDocument/2006/relationships/hyperlink" Target="https://www.blackduck.com/blog/polaris-september-2026-update.html" TargetMode="External"/><Relationship Id="rId13" Type="http://schemas.openxmlformats.org/officeDocument/2006/relationships/hyperlink" Target="https://checkmarx.com/product/checkmarx-one/" TargetMode="External"/><Relationship Id="rId14" Type="http://schemas.openxmlformats.org/officeDocument/2006/relationships/hyperlink" Target="https://checkmarx.com/product/developer-assist/" TargetMode="External"/><Relationship Id="rId15" Type="http://schemas.openxmlformats.org/officeDocument/2006/relationships/hyperlink" Target="https://clover.security/" TargetMode="External"/><Relationship Id="rId16" Type="http://schemas.openxmlformats.org/officeDocument/2006/relationships/hyperlink" Target="https://clover.security/news/" TargetMode="External"/><Relationship Id="rId17" Type="http://schemas.openxmlformats.org/officeDocument/2006/relationships/hyperlink" Target="https://www.contrastsecurity.com/contrast-one" TargetMode="External"/><Relationship Id="rId18" Type="http://schemas.openxmlformats.org/officeDocument/2006/relationships/hyperlink" Target="https://www.contrastsecurity.com/contrast-one" TargetMode="External"/><Relationship Id="rId19" Type="http://schemas.openxmlformats.org/officeDocument/2006/relationships/hyperlink" Target="https://corgea.com/" TargetMode="External"/><Relationship Id="rId20" Type="http://schemas.openxmlformats.org/officeDocument/2006/relationships/hyperlink" Target="https://corgea.com/" TargetMode="External"/><Relationship Id="rId21" Type="http://schemas.openxmlformats.org/officeDocument/2006/relationships/hyperlink" Target="https://www.paloaltonetworks.com/cortex/cloud/application-security" TargetMode="External"/><Relationship Id="rId22" Type="http://schemas.openxmlformats.org/officeDocument/2006/relationships/hyperlink" Target="https://www.paloaltonetworks.com/cortex/cloud/application-security" TargetMode="External"/><Relationship Id="rId23" Type="http://schemas.openxmlformats.org/officeDocument/2006/relationships/hyperlink" Target="https://www.crowdstrike.com/en-us/platform/cloud-security/aspm/" TargetMode="External"/><Relationship Id="rId24" Type="http://schemas.openxmlformats.org/officeDocument/2006/relationships/hyperlink" Target="https://www.crowdstrike.com/en-us/platform/cloud-security/aspm/" TargetMode="External"/><Relationship Id="rId25" Type="http://schemas.openxmlformats.org/officeDocument/2006/relationships/hyperlink" Target="https://cycode.com/" TargetMode="External"/><Relationship Id="rId26" Type="http://schemas.openxmlformats.org/officeDocument/2006/relationships/hyperlink" Target="https://cycode.com/" TargetMode="External"/><Relationship Id="rId27" Type="http://schemas.openxmlformats.org/officeDocument/2006/relationships/hyperlink" Target="https://dryrun.security/" TargetMode="External"/><Relationship Id="rId28" Type="http://schemas.openxmlformats.org/officeDocument/2006/relationships/hyperlink" Target="https://dryrun.security/" TargetMode="External"/><Relationship Id="rId29" Type="http://schemas.openxmlformats.org/officeDocument/2006/relationships/hyperlink" Target="https://www.endorlabs.com/" TargetMode="External"/><Relationship Id="rId30" Type="http://schemas.openxmlformats.org/officeDocument/2006/relationships/hyperlink" Target="https://www.endorlabs.com/learn/byok-for-endor-labs" TargetMode="External"/><Relationship Id="rId31" Type="http://schemas.openxmlformats.org/officeDocument/2006/relationships/hyperlink" Target="https://escape.tech/" TargetMode="External"/><Relationship Id="rId32" Type="http://schemas.openxmlformats.org/officeDocument/2006/relationships/hyperlink" Target="https://escape.tech/" TargetMode="External"/><Relationship Id="rId33" Type="http://schemas.openxmlformats.org/officeDocument/2006/relationships/hyperlink" Target="https://github.com/security/advanced-security" TargetMode="External"/><Relationship Id="rId34" Type="http://schemas.openxmlformats.org/officeDocument/2006/relationships/hyperlink" Target="https://github.blog/changelog/2026-10-15-agentic-autofix-for-code-scanning-alerts-general-availability" TargetMode="External"/><Relationship Id="rId35" Type="http://schemas.openxmlformats.org/officeDocument/2006/relationships/hyperlink" Target="https://gomboc.ai/" TargetMode="External"/><Relationship Id="rId36" Type="http://schemas.openxmlformats.org/officeDocument/2006/relationships/hyperlink" Target="https://gomboc.ai/" TargetMode="External"/><Relationship Id="rId37" Type="http://schemas.openxmlformats.org/officeDocument/2006/relationships/hyperlink" Target="https://www.hcl-software.com/appscan" TargetMode="External"/><Relationship Id="rId38" Type="http://schemas.openxmlformats.org/officeDocument/2006/relationships/hyperlink" Target="https://help.hcl-software.com/appscan/ASoC/appseccloud_whats_new_cm.html" TargetMode="External"/><Relationship Id="rId39" Type="http://schemas.openxmlformats.org/officeDocument/2006/relationships/hyperlink" Target="https://www.invicti.com/product/aspm/" TargetMode="External"/><Relationship Id="rId40" Type="http://schemas.openxmlformats.org/officeDocument/2006/relationships/hyperlink" Target="https://www.invicti.com/product/aspm/" TargetMode="External"/><Relationship Id="rId41" Type="http://schemas.openxmlformats.org/officeDocument/2006/relationships/hyperlink" Target="https://jfrog.com/platform/" TargetMode="External"/><Relationship Id="rId42" Type="http://schemas.openxmlformats.org/officeDocument/2006/relationships/hyperlink" Target="https://jfrog.com/platform/" TargetMode="External"/><Relationship Id="rId43" Type="http://schemas.openxmlformats.org/officeDocument/2006/relationships/hyperlink" Target="https://www.jit.io/" TargetMode="External"/><Relationship Id="rId44" Type="http://schemas.openxmlformats.org/officeDocument/2006/relationships/hyperlink" Target="https://www.jit.io/" TargetMode="External"/><Relationship Id="rId45" Type="http://schemas.openxmlformats.org/officeDocument/2006/relationships/hyperlink" Target="https://www.legitsecurity.com/" TargetMode="External"/><Relationship Id="rId46" Type="http://schemas.openxmlformats.org/officeDocument/2006/relationships/hyperlink" Target="https://www.legitsecurity.com/" TargetMode="External"/><Relationship Id="rId47" Type="http://schemas.openxmlformats.org/officeDocument/2006/relationships/hyperlink" Target="https://www.mend.io/" TargetMode="External"/><Relationship Id="rId48" Type="http://schemas.openxmlformats.org/officeDocument/2006/relationships/hyperlink" Target="https://www.mend.io/" TargetMode="External"/><Relationship Id="rId49" Type="http://schemas.openxmlformats.org/officeDocument/2006/relationships/hyperlink" Target="https://www.mobb.ai/" TargetMode="External"/><Relationship Id="rId50" Type="http://schemas.openxmlformats.org/officeDocument/2006/relationships/hyperlink" Target="https://www.mobb.ai/" TargetMode="External"/><Relationship Id="rId51" Type="http://schemas.openxmlformats.org/officeDocument/2006/relationships/hyperlink" Target="https://www.nullify.ai/" TargetMode="External"/><Relationship Id="rId52" Type="http://schemas.openxmlformats.org/officeDocument/2006/relationships/hyperlink" Target="https://www.nullify.ai/" TargetMode="External"/><Relationship Id="rId53" Type="http://schemas.openxmlformats.org/officeDocument/2006/relationships/hyperlink" Target="https://www.opentext.com/products/application-security" TargetMode="External"/><Relationship Id="rId54" Type="http://schemas.openxmlformats.org/officeDocument/2006/relationships/hyperlink" Target="https://www.opentext.com/products/application-security" TargetMode="External"/><Relationship Id="rId55" Type="http://schemas.openxmlformats.org/officeDocument/2006/relationships/hyperlink" Target="https://orca.security/" TargetMode="External"/><Relationship Id="rId56" Type="http://schemas.openxmlformats.org/officeDocument/2006/relationships/hyperlink" Target="https://orca.security/" TargetMode="External"/><Relationship Id="rId57" Type="http://schemas.openxmlformats.org/officeDocument/2006/relationships/hyperlink" Target="https://www.ox.security/" TargetMode="External"/><Relationship Id="rId58" Type="http://schemas.openxmlformats.org/officeDocument/2006/relationships/hyperlink" Target="https://www.ox.security/blog/ox-security-launches-ox-cloud-ai-agent-security/" TargetMode="External"/><Relationship Id="rId59" Type="http://schemas.openxmlformats.org/officeDocument/2006/relationships/hyperlink" Target="https://phoenix.security/" TargetMode="External"/><Relationship Id="rId60" Type="http://schemas.openxmlformats.org/officeDocument/2006/relationships/hyperlink" Target="https://phoenix.security/phoenix-cli-and-mcp-server/" TargetMode="External"/><Relationship Id="rId61" Type="http://schemas.openxmlformats.org/officeDocument/2006/relationships/hyperlink" Target="https://www.pixee.ai/" TargetMode="External"/><Relationship Id="rId62" Type="http://schemas.openxmlformats.org/officeDocument/2006/relationships/hyperlink" Target="https://www.pixee.ai/" TargetMode="External"/><Relationship Id="rId63" Type="http://schemas.openxmlformats.org/officeDocument/2006/relationships/hyperlink" Target="https://seemplicity.ai/" TargetMode="External"/><Relationship Id="rId64" Type="http://schemas.openxmlformats.org/officeDocument/2006/relationships/hyperlink" Target="https://appsecsanta.com/aspm-tools" TargetMode="External"/><Relationship Id="rId65" Type="http://schemas.openxmlformats.org/officeDocument/2006/relationships/hyperlink" Target="https://snyk.io/platform/" TargetMode="External"/><Relationship Id="rId66" Type="http://schemas.openxmlformats.org/officeDocument/2006/relationships/hyperlink" Target="https://snyk.io/platform/" TargetMode="External"/><Relationship Id="rId67" Type="http://schemas.openxmlformats.org/officeDocument/2006/relationships/hyperlink" Target="https://www.sonatype.com/" TargetMode="External"/><Relationship Id="rId68" Type="http://schemas.openxmlformats.org/officeDocument/2006/relationships/hyperlink" Target="https://www.sonatype.com/" TargetMode="External"/><Relationship Id="rId69" Type="http://schemas.openxmlformats.org/officeDocument/2006/relationships/hyperlink" Target="https://www.tromzo.com/" TargetMode="External"/><Relationship Id="rId70" Type="http://schemas.openxmlformats.org/officeDocument/2006/relationships/hyperlink" Target="https://www.tromzo.com/" TargetMode="External"/><Relationship Id="rId71" Type="http://schemas.openxmlformats.org/officeDocument/2006/relationships/hyperlink" Target="https://www.veracode.com/products/" TargetMode="External"/><Relationship Id="rId72" Type="http://schemas.openxmlformats.org/officeDocument/2006/relationships/hyperlink" Target="https://www.veracode.com/products/risk-manager/" TargetMode="External"/><Relationship Id="rId73" Type="http://schemas.openxmlformats.org/officeDocument/2006/relationships/hyperlink" Target="https://www.wiz.io/" TargetMode="External"/><Relationship Id="rId74" Type="http://schemas.openxmlformats.org/officeDocument/2006/relationships/hyperlink" Target="https://www.wiz.io/blog/introducing-wiz-ai-sast" TargetMode="External"/><Relationship Id="rId75" Type="http://schemas.openxmlformats.org/officeDocument/2006/relationships/hyperlink" Target="https://zeropath.com/" TargetMode="External"/><Relationship Id="rId76" Type="http://schemas.openxmlformats.org/officeDocument/2006/relationships/hyperlink" Target="https://zeropath.com/" TargetMode="External"/><Relationship Id="rId77" Type="http://schemas.openxmlformats.org/officeDocument/2006/relationships/hyperlink" Target="https://faradaysec.com/" TargetMode="External"/><Relationship Id="rId78" Type="http://schemas.openxmlformats.org/officeDocument/2006/relationships/hyperlink" Target="https://faradaysec.com/latest-release/" TargetMode="External"/><Relationship Id="rId79" Type="http://schemas.openxmlformats.org/officeDocument/2006/relationships/hyperlink" Target="https://about.gitlab.com/pricing/ultimate/" TargetMode="External"/><Relationship Id="rId80" Type="http://schemas.openxmlformats.org/officeDocument/2006/relationships/hyperlink" Target="https://docs.gitlab.com/releases/19/gitlab-19-5-released/" TargetMode="External"/><Relationship Id="rId81" Type="http://schemas.openxmlformats.org/officeDocument/2006/relationships/hyperlink" Target="https://www.defectdojo.com/" TargetMode="External"/><Relationship Id="rId82" Type="http://schemas.openxmlformats.org/officeDocument/2006/relationships/hyperlink" Target="https://github.com/DefectDojo/django-DefectDojo" TargetMode="External"/><Relationship Id="rId83" Type="http://schemas.openxmlformats.org/officeDocument/2006/relationships/hyperlink" Target="https://semgrep.dev/" TargetMode="External"/><Relationship Id="rId84" Type="http://schemas.openxmlformats.org/officeDocument/2006/relationships/hyperlink" Target="https://semgrep.dev/" TargetMode="External"/><Relationship Id="rId85" Type="http://schemas.openxmlformats.org/officeDocument/2006/relationships/hyperlink" Target="https://sysdig.com/" TargetMode="External"/><Relationship Id="rId86" Type="http://schemas.openxmlformats.org/officeDocument/2006/relationships/hyperlink" Target="https://sysdig.com/" TargetMode="External"/><Relationship Id="rId87"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hyperlink" Target="https://docs.endorlabs.com/releasenotes/october-2026" TargetMode="External"/><Relationship Id="rId2" Type="http://schemas.openxmlformats.org/officeDocument/2006/relationships/hyperlink" Target="https://docs.endorlabs.com/releasenotes/october-2026" TargetMode="External"/><Relationship Id="rId3" Type="http://schemas.openxmlformats.org/officeDocument/2006/relationships/hyperlink" Target="https://docs.sdelements.com/release/latest/guide/docs/whatsnew.html" TargetMode="External"/><Relationship Id="rId4" Type="http://schemas.openxmlformats.org/officeDocument/2006/relationships/hyperlink" Target="https://github.blog/changelog/2026-10-16-open-source-license-compliance-generally-available" TargetMode="External"/><Relationship Id="rId5" Type="http://schemas.openxmlformats.org/officeDocument/2006/relationships/hyperlink" Target="https://github.blog/changelog/2026-10-16-open-source-license-compliance-generally-available/" TargetMode="External"/><Relationship Id="rId6" Type="http://schemas.openxmlformats.org/officeDocument/2006/relationships/hyperlink" Target="https://github.blog/changelog/2026-10-16-open-source-license-compliance-generally-available" TargetMode="External"/><Relationship Id="rId7" Type="http://schemas.openxmlformats.org/officeDocument/2006/relationships/hyperlink" Target="https://checkmarx.com/press-releases/checkmarx-joins-the-claude-marketplace/" TargetMode="External"/><Relationship Id="rId8" Type="http://schemas.openxmlformats.org/officeDocument/2006/relationships/hyperlink" Target="https://github.blog/changelog/2026-10-15-ai-scan-for-pull-requests-generally-available" TargetMode="External"/><Relationship Id="rId9" Type="http://schemas.openxmlformats.org/officeDocument/2006/relationships/hyperlink" Target="https://github.blog/changelog/2026-10-15-agentic-autofix-for-code-scanning-alerts-general-availability" TargetMode="External"/><Relationship Id="rId10" Type="http://schemas.openxmlformats.org/officeDocument/2006/relationships/hyperlink" Target="https://docs.gitlab.com/releases/19/gitlab-19-5-released/" TargetMode="External"/><Relationship Id="rId11" Type="http://schemas.openxmlformats.org/officeDocument/2006/relationships/hyperlink" Target="https://checkmarx.com/press-releases/checkmarx-joins-the-claude-marketplace/" TargetMode="External"/><Relationship Id="rId12" Type="http://schemas.openxmlformats.org/officeDocument/2006/relationships/hyperlink" Target="https://docs.gitlab.com/releases/19/gitlab-19-5-released/" TargetMode="External"/><Relationship Id="rId13" Type="http://schemas.openxmlformats.org/officeDocument/2006/relationships/hyperlink" Target="https://docs.jfrog.com/releases/docs/xray" TargetMode="External"/><Relationship Id="rId14" Type="http://schemas.openxmlformats.org/officeDocument/2006/relationships/hyperlink" Target="https://docs.jfrog.com/releases/docs/xray" TargetMode="External"/><Relationship Id="rId15" Type="http://schemas.openxmlformats.org/officeDocument/2006/relationships/hyperlink" Target="https://docs.jfrog.com/releases/docs/xray" TargetMode="External"/><Relationship Id="rId16" Type="http://schemas.openxmlformats.org/officeDocument/2006/relationships/hyperlink" Target="https://docs.gitguardian.com/releases/saas/2026/10/15/changelog" TargetMode="External"/><Relationship Id="rId17" Type="http://schemas.openxmlformats.org/officeDocument/2006/relationships/hyperlink" Target="https://docs.gitlab.com/releases/19/gitlab-19-5-released/" TargetMode="External"/><Relationship Id="rId18" Type="http://schemas.openxmlformats.org/officeDocument/2006/relationships/hyperlink" Target="https://docs.jfrog.com/releases/docs/xray" TargetMode="External"/><Relationship Id="rId19" Type="http://schemas.openxmlformats.org/officeDocument/2006/relationships/hyperlink" Target="https://docs.gitlab.com/releases/19/gitlab-19-5-released/" TargetMode="External"/><Relationship Id="rId20" Type="http://schemas.openxmlformats.org/officeDocument/2006/relationships/hyperlink" Target="https://docs.gitlab.com/releases/19/gitlab-19-5-released/" TargetMode="External"/><Relationship Id="rId21" Type="http://schemas.openxmlformats.org/officeDocument/2006/relationships/hyperlink" Target="https://checkmarx.com/press-releases/checkmarx-joins-the-claude-marketplace/" TargetMode="External"/><Relationship Id="rId22" Type="http://schemas.openxmlformats.org/officeDocument/2006/relationships/hyperlink" Target="https://github.blog/changelog/2026-10-15-agentic-autofix-for-code-scanning-alerts-general-availability" TargetMode="External"/><Relationship Id="rId23" Type="http://schemas.openxmlformats.org/officeDocument/2006/relationships/hyperlink" Target="https://github.blog/changelog/2026-10-15-ai-scan-for-pull-requests-generally-available" TargetMode="External"/><Relationship Id="rId24" Type="http://schemas.openxmlformats.org/officeDocument/2006/relationships/hyperlink" Target="https://docs.gitlab.com/releases/19/gitlab-19-5-released/" TargetMode="External"/><Relationship Id="rId25" Type="http://schemas.openxmlformats.org/officeDocument/2006/relationships/hyperlink" Target="https://www.endorlabs.com/learn/byok-for-endor-labs" TargetMode="External"/><Relationship Id="rId26" Type="http://schemas.openxmlformats.org/officeDocument/2006/relationships/hyperlink" Target="https://www.sonatype.com/press-releases/sonatype-unveils-nexus-repository-pro-plus" TargetMode="External"/><Relationship Id="rId27" Type="http://schemas.openxmlformats.org/officeDocument/2006/relationships/hyperlink" Target="https://socket.dev/blog/socket-for-origin" TargetMode="External"/><Relationship Id="rId28" Type="http://schemas.openxmlformats.org/officeDocument/2006/relationships/hyperlink" Target="https://github.com/aquasecurity/trivy/discussions/11409" TargetMode="External"/><Relationship Id="rId29" Type="http://schemas.openxmlformats.org/officeDocument/2006/relationships/hyperlink" Target="https://trufflesecurity.com/docs/2026-october" TargetMode="External"/><Relationship Id="rId30" Type="http://schemas.openxmlformats.org/officeDocument/2006/relationships/hyperlink" Target="https://github.com/aquasecurity/trivy/discussions/11409" TargetMode="External"/><Relationship Id="rId31" Type="http://schemas.openxmlformats.org/officeDocument/2006/relationships/hyperlink" Target="https://www.sonatype.com/press-releases/sonatype-unveils-nexus-repository-pro-plus" TargetMode="External"/><Relationship Id="rId32" Type="http://schemas.openxmlformats.org/officeDocument/2006/relationships/hyperlink" Target="https://www.wiz.io/blog/wiz-for-gov-agents-fedramp" TargetMode="External"/><Relationship Id="rId33" Type="http://schemas.openxmlformats.org/officeDocument/2006/relationships/hyperlink" Target="https://www.endorlabs.com/learn/byok-for-endor-labs" TargetMode="External"/><Relationship Id="rId34" Type="http://schemas.openxmlformats.org/officeDocument/2006/relationships/hyperlink" Target="https://www.sonatype.com/press-releases/sonatype-unveils-nexus-repository-pro-plus" TargetMode="External"/><Relationship Id="rId35" Type="http://schemas.openxmlformats.org/officeDocument/2006/relationships/hyperlink" Target="https://docs.veracode.com/updates" TargetMode="External"/><Relationship Id="rId36" Type="http://schemas.openxmlformats.org/officeDocument/2006/relationships/hyperlink" Target="https://updates.snyk.io/snyk-code-october-update/" TargetMode="External"/><Relationship Id="rId37" Type="http://schemas.openxmlformats.org/officeDocument/2006/relationships/hyperlink" Target="https://github.blog/changelog/2026-10-13-code-scanning-ai-scan-metrics-in-security-overview" TargetMode="External"/><Relationship Id="rId38" Type="http://schemas.openxmlformats.org/officeDocument/2006/relationships/hyperlink" Target="https://www.sonarsource.com/company/press-releases/sonar-joins-openai-daybreak-cyber-partner-program/" TargetMode="External"/><Relationship Id="rId39" Type="http://schemas.openxmlformats.org/officeDocument/2006/relationships/hyperlink" Target="https://docs.veracode.com/updates" TargetMode="External"/><Relationship Id="rId40" Type="http://schemas.openxmlformats.org/officeDocument/2006/relationships/hyperlink" Target="https://github.blog/changelog/2026-10-13-improved-detection-for-withdrawn-dependabot-alerts" TargetMode="External"/><Relationship Id="rId41" Type="http://schemas.openxmlformats.org/officeDocument/2006/relationships/hyperlink" Target="https://github.blog/changelog/2026-10-13-secret-scanning-blocks-anthropic-keys-by-default-adds-salesforce/" TargetMode="External"/><Relationship Id="rId42" Type="http://schemas.openxmlformats.org/officeDocument/2006/relationships/hyperlink" Target="https://docs.veracode.com/updates/" TargetMode="External"/><Relationship Id="rId43" Type="http://schemas.openxmlformats.org/officeDocument/2006/relationships/hyperlink" Target="https://docs.veracode.com/updates/r/c_all_int" TargetMode="External"/><Relationship Id="rId44" Type="http://schemas.openxmlformats.org/officeDocument/2006/relationships/hyperlink" Target="https://github.blog/changelog/2026-10-13-secret-scanning-blocks-anthropic-keys-by-default-adds-salesforce" TargetMode="External"/><Relationship Id="rId45" Type="http://schemas.openxmlformats.org/officeDocument/2006/relationships/hyperlink" Target="https://www.endorlabs.com/learn/endor-labs-and-bright-security-partner-to-close-the-gap-between-discovery-and-remediation" TargetMode="External"/><Relationship Id="rId46" Type="http://schemas.openxmlformats.org/officeDocument/2006/relationships/hyperlink" Target="https://github.blog/changelog/2026-10-12-anonymous-organization-level-registries-for-dependabot" TargetMode="External"/><Relationship Id="rId47" Type="http://schemas.openxmlformats.org/officeDocument/2006/relationships/hyperlink" Target="https://www.endorlabs.com/learn/endor-labs-and-bright-security-partner-to-close-the-gap-between-discovery-and-remediation" TargetMode="External"/><Relationship Id="rId48" Type="http://schemas.openxmlformats.org/officeDocument/2006/relationships/hyperlink" Target="https://github.blog/changelog/2026-10-09-codeql-2-27-2-improves-c-go-rust-and-javascript-analysis" TargetMode="External"/><Relationship Id="rId49" Type="http://schemas.openxmlformats.org/officeDocument/2006/relationships/hyperlink" Target="https://docs.gitguardian.com/releases/saas/2026/10/09/changelog" TargetMode="External"/><Relationship Id="rId50" Type="http://schemas.openxmlformats.org/officeDocument/2006/relationships/hyperlink" Target="https://github.blog/changelog/2026-10-09-codeql-2-27-2-improves-c-go-rust-and-javascript-analysis" TargetMode="External"/><Relationship Id="rId51" Type="http://schemas.openxmlformats.org/officeDocument/2006/relationships/hyperlink" Target="https://updates.snyk.io/announcing-snyk-cli-v1-1308-0/" TargetMode="External"/><Relationship Id="rId52" Type="http://schemas.openxmlformats.org/officeDocument/2006/relationships/hyperlink" Target="https://corgea.com/blog/changelog-october-8-2026" TargetMode="External"/><Relationship Id="rId53" Type="http://schemas.openxmlformats.org/officeDocument/2006/relationships/hyperlink" Target="https://corgea.com/blog/corgea-q3-2026-product-update" TargetMode="External"/><Relationship Id="rId54" Type="http://schemas.openxmlformats.org/officeDocument/2006/relationships/hyperlink" Target="https://updates.snyk.io/announcing-snyk-cli-v1-1308-0/" TargetMode="External"/><Relationship Id="rId55" Type="http://schemas.openxmlformats.org/officeDocument/2006/relationships/hyperlink" Target="https://updates.snyk.io/" TargetMode="External"/><Relationship Id="rId56" Type="http://schemas.openxmlformats.org/officeDocument/2006/relationships/hyperlink" Target="https://updates.snyk.io/" TargetMode="External"/><Relationship Id="rId57" Type="http://schemas.openxmlformats.org/officeDocument/2006/relationships/hyperlink" Target="https://updates.snyk.io/announcing-snyk-cli-v1-1308-0/" TargetMode="External"/><Relationship Id="rId58" Type="http://schemas.openxmlformats.org/officeDocument/2006/relationships/hyperlink" Target="https://www.mend.io/blog/renovate-community-oss-plan-upgrades/" TargetMode="External"/><Relationship Id="rId59" Type="http://schemas.openxmlformats.org/officeDocument/2006/relationships/hyperlink" Target="https://docs.gitguardian.com/releases/saas/2026/10/07/changelog" TargetMode="External"/><Relationship Id="rId60" Type="http://schemas.openxmlformats.org/officeDocument/2006/relationships/hyperlink" Target="https://github.blog/changelog/2026-10-07-purpose-built-model-for-leaked-secret-detection/" TargetMode="External"/><Relationship Id="rId61" Type="http://schemas.openxmlformats.org/officeDocument/2006/relationships/hyperlink" Target="https://socket.dev/blog/vscode-extensions" TargetMode="External"/><Relationship Id="rId62" Type="http://schemas.openxmlformats.org/officeDocument/2006/relationships/hyperlink" Target="https://www.wiz.io/blog/introducing-wiz-ai-sast" TargetMode="External"/><Relationship Id="rId63" Type="http://schemas.openxmlformats.org/officeDocument/2006/relationships/hyperlink" Target="https://github.blog/changelog/2026-10-05-secret-scanning-adds-detectors-for-lovable-supabase-and-more/" TargetMode="External"/><Relationship Id="rId64" Type="http://schemas.openxmlformats.org/officeDocument/2006/relationships/hyperlink" Target="https://thehackernews.com/2026/10/gitlab-patches-critical-self-hosted-ai.html" TargetMode="External"/><Relationship Id="rId65" Type="http://schemas.openxmlformats.org/officeDocument/2006/relationships/hyperlink" Target="https://github.com/cdxgen/cdxgen/releases/tag/v13.3.0" TargetMode="External"/><Relationship Id="rId66" Type="http://schemas.openxmlformats.org/officeDocument/2006/relationships/hyperlink" Target="https://github.com/anchore/grype/releases/tag/v0.120.0" TargetMode="External"/><Relationship Id="rId67" Type="http://schemas.openxmlformats.org/officeDocument/2006/relationships/hyperlink" Target="https://docs.convisoappsec.com/releases/2026-10-02-ai-pentest-assisted" TargetMode="External"/><Relationship Id="rId68" Type="http://schemas.openxmlformats.org/officeDocument/2006/relationships/hyperlink" Target="https://github.blog/changelog/2026-10-01-scheduled-code-scanning-skips-inactive-repositories/" TargetMode="External"/><Relationship Id="rId69" Type="http://schemas.openxmlformats.org/officeDocument/2006/relationships/hyperlink" Target="https://github.com/anchore/syft/releases/tag/v1.54.0" TargetMode="External"/><Relationship Id="rId70" Type="http://schemas.openxmlformats.org/officeDocument/2006/relationships/hyperlink" Target="https://github.blog/changelog/2026-09-30-github-advanced-security-trials-for-github-team/" TargetMode="External"/><Relationship Id="rId71" Type="http://schemas.openxmlformats.org/officeDocument/2006/relationships/hyperlink" Target="https://github.blog/changelog/2026-09-30-opt-in-dist-tag-permissions-for-npm-trusted-publishing/" TargetMode="External"/><Relationship Id="rId72" Type="http://schemas.openxmlformats.org/officeDocument/2006/relationships/hyperlink" Target="https://docs.gitguardian.com/releases/saas/2026/09/30/changelog" TargetMode="External"/><Relationship Id="rId73" Type="http://schemas.openxmlformats.org/officeDocument/2006/relationships/hyperlink" Target="https://github.blog/changelog/2026-09-30-github-advanced-security-trials-for-github-team" TargetMode="External"/><Relationship Id="rId74" Type="http://schemas.openxmlformats.org/officeDocument/2006/relationships/hyperlink" Target="https://github.com/betterleaks/betterleaks/releases/tag/v2.0.0-rc.1" TargetMode="External"/><Relationship Id="rId75" Type="http://schemas.openxmlformats.org/officeDocument/2006/relationships/hyperlink" Target="https://www.globenewswire.com/news-release/2026/09/30/3372222/0/en/legit-security-launches-agentic-remediation-for-open-source-dependency-vulnerabilities.html" TargetMode="External"/><Relationship Id="rId76" Type="http://schemas.openxmlformats.org/officeDocument/2006/relationships/hyperlink" Target="https://github.com/chainloop-dev/chainloop/releases/tag/v1.112.0" TargetMode="External"/><Relationship Id="rId77" Type="http://schemas.openxmlformats.org/officeDocument/2006/relationships/hyperlink" Target="https://www.legitsecurity.com/blog/agentic-remediation-just-got-bigger-now-fixing-vulnerabilities-in-your-dependencies-not-just-your-code" TargetMode="External"/><Relationship Id="rId78" Type="http://schemas.openxmlformats.org/officeDocument/2006/relationships/hyperlink" Target="https://www.legitsecurity.com/blog/agentic-remediation-just-got-bigger-now-fixing-vulnerabilities-in-your-dependencies-not-just-your-code" TargetMode="External"/><Relationship Id="rId79" Type="http://schemas.openxmlformats.org/officeDocument/2006/relationships/hyperlink" Target="https://www.sonarsource.com/company/press-releases/sonarqube-server-2026-5-lta-release/" TargetMode="External"/><Relationship Id="rId80" Type="http://schemas.openxmlformats.org/officeDocument/2006/relationships/hyperlink" Target="https://help.hcl-software.com/appscan/ASoC/appseccloud_whats_new_cm.html" TargetMode="External"/><Relationship Id="rId81" Type="http://schemas.openxmlformats.org/officeDocument/2006/relationships/hyperlink" Target="https://github.blog/changelog/2026-09-29-repository-custom-runner-settings-for-dependabot/" TargetMode="External"/><Relationship Id="rId82" Type="http://schemas.openxmlformats.org/officeDocument/2006/relationships/hyperlink" Target="https://github.com/betterleaks/betterleaks/releases/tag/v1.9.0" TargetMode="External"/><Relationship Id="rId83" Type="http://schemas.openxmlformats.org/officeDocument/2006/relationships/hyperlink" Target="https://cycode.com/blog/cycode-hugging-face/" TargetMode="External"/><Relationship Id="rId84" Type="http://schemas.openxmlformats.org/officeDocument/2006/relationships/hyperlink" Target="https://www.nightfall.ai/news/nightfall-expands-its-integration-with-claudes-compliance-api-bringing-its-ai-native-dlp-to-claude-enterprise-and-claude-platform" TargetMode="External"/><Relationship Id="rId85" Type="http://schemas.openxmlformats.org/officeDocument/2006/relationships/hyperlink" Target="https://help.hcl-software.com/appscan/ASoC/appseccloud_whats_new_cm.html" TargetMode="External"/><Relationship Id="rId86" Type="http://schemas.openxmlformats.org/officeDocument/2006/relationships/hyperlink" Target="https://www.prnewswire.com/news-releases/invicti-named-a-leader-in-2026-idc-marketscape-for-dynamic-application-security-testing-302892339.html" TargetMode="External"/><Relationship Id="rId87" Type="http://schemas.openxmlformats.org/officeDocument/2006/relationships/hyperlink" Target="https://docs.gitguardian.com/releases/saas/2026/09/28/changelog" TargetMode="External"/><Relationship Id="rId88" Type="http://schemas.openxmlformats.org/officeDocument/2006/relationships/hyperlink" Target="https://www.prnewswire.com/news-releases/noma-extends-agent-security-and-governance-to-the-employee-endpoint-302890925.html" TargetMode="External"/><Relationship Id="rId89" Type="http://schemas.openxmlformats.org/officeDocument/2006/relationships/hyperlink" Target="https://help.hcl-software.com/appscan/ASoC/appseccloud_whats_new_cm.html" TargetMode="External"/><Relationship Id="rId90" Type="http://schemas.openxmlformats.org/officeDocument/2006/relationships/hyperlink" Target="https://docs.mend.io/platform/latest/mend-sca-release-notes" TargetMode="External"/><Relationship Id="rId91" Type="http://schemas.openxmlformats.org/officeDocument/2006/relationships/hyperlink" Target="https://docs.jfrog.com/releases/docs/xray" TargetMode="External"/><Relationship Id="rId92" Type="http://schemas.openxmlformats.org/officeDocument/2006/relationships/hyperlink" Target="https://docs.endorlabs.com/releasenotes/september-2026" TargetMode="External"/><Relationship Id="rId93" Type="http://schemas.openxmlformats.org/officeDocument/2006/relationships/hyperlink" Target="https://help.hcl-software.com/appscan/ASoC/appseccloud_whats_new_cm.html" TargetMode="External"/><Relationship Id="rId94" Type="http://schemas.openxmlformats.org/officeDocument/2006/relationships/hyperlink" Target="https://help.hcl-software.com/appscan/ASoC/appseccloud_whats_new_cm.html" TargetMode="External"/><Relationship Id="rId95" Type="http://schemas.openxmlformats.org/officeDocument/2006/relationships/hyperlink" Target="https://docs.jfrog.com/releases/docs/xray" TargetMode="External"/><Relationship Id="rId96" Type="http://schemas.openxmlformats.org/officeDocument/2006/relationships/hyperlink" Target="https://docs.endorlabs.com/releasenotes/september-2026" TargetMode="External"/><Relationship Id="rId97" Type="http://schemas.openxmlformats.org/officeDocument/2006/relationships/hyperlink" Target="https://github.com/msaad00/agent-bom/releases" TargetMode="External"/><Relationship Id="rId98" Type="http://schemas.openxmlformats.org/officeDocument/2006/relationships/hyperlink" Target="https://www.precogly.org/" TargetMode="External"/><Relationship Id="rId99" Type="http://schemas.openxmlformats.org/officeDocument/2006/relationships/hyperlink" Target="https://www.ycombinator.com/companies/remy-security" TargetMode="External"/><Relationship Id="rId100" Type="http://schemas.openxmlformats.org/officeDocument/2006/relationships/hyperlink" Target="https://help.hcl-software.com/appscan/ASoC/appseccloud_whats_new_cm.html" TargetMode="External"/><Relationship Id="rId101" Type="http://schemas.openxmlformats.org/officeDocument/2006/relationships/hyperlink" Target="https://docs.endorlabs.com/releasenotes/september-2026" TargetMode="External"/><Relationship Id="rId102" Type="http://schemas.openxmlformats.org/officeDocument/2006/relationships/hyperlink" Target="https://github.com/mrwadams/stride-gpt/releases/tag/v0.20.0" TargetMode="External"/><Relationship Id="rId103" Type="http://schemas.openxmlformats.org/officeDocument/2006/relationships/hyperlink" Target="https://github.blog/changelog/2026-09-25-agentic-autofix-now-uses-copilot-memory" TargetMode="External"/><Relationship Id="rId104" Type="http://schemas.openxmlformats.org/officeDocument/2006/relationships/hyperlink" Target="https://github.blog/changelog/2026-09-25-codeql-2-27-1-adds-c-and-c-query-and-kotlin-2-4-20-support" TargetMode="External"/><Relationship Id="rId105" Type="http://schemas.openxmlformats.org/officeDocument/2006/relationships/hyperlink" Target="https://github.com/pmd/pmd/releases/tag/pmd_releases/7.28.0" TargetMode="External"/><Relationship Id="rId106" Type="http://schemas.openxmlformats.org/officeDocument/2006/relationships/hyperlink" Target="https://docs.gitguardian.com/releases/saas/2026/09/25/changelog" TargetMode="External"/><Relationship Id="rId107" Type="http://schemas.openxmlformats.org/officeDocument/2006/relationships/hyperlink" Target="https://docs.gitguardian.com/releases/self-hosted/2026-09-changelog" TargetMode="External"/><Relationship Id="rId108" Type="http://schemas.openxmlformats.org/officeDocument/2006/relationships/hyperlink" Target="https://github.blog/changelog/2026-09-25-agentic-autofix-now-uses-copilot-memory" TargetMode="External"/><Relationship Id="rId109" Type="http://schemas.openxmlformats.org/officeDocument/2006/relationships/hyperlink" Target="https://github.blog/changelog/2026-09-25-agentic-autofix-now-uses-copilot-memory" TargetMode="External"/><Relationship Id="rId110" Type="http://schemas.openxmlformats.org/officeDocument/2006/relationships/hyperlink" Target="https://www.lineaje.com/post/frontier-defense-vulnerable-code-in-verified-patches-out" TargetMode="External"/><Relationship Id="rId111" Type="http://schemas.openxmlformats.org/officeDocument/2006/relationships/hyperlink" Target="https://github.blog/changelog/2026-09-25-agentic-autofix-now-uses-copilot-memory/" TargetMode="External"/><Relationship Id="rId112" Type="http://schemas.openxmlformats.org/officeDocument/2006/relationships/hyperlink" Target="https://github.blog/changelog/" TargetMode="External"/><Relationship Id="rId113" Type="http://schemas.openxmlformats.org/officeDocument/2006/relationships/hyperlink" Target="https://semgrep.dev/blog/2026/introducing-malware-detection-and-response-automation" TargetMode="External"/><Relationship Id="rId114" Type="http://schemas.openxmlformats.org/officeDocument/2006/relationships/hyperlink" Target="https://corgea.com/blog/changelog-september-24-2026" TargetMode="External"/><Relationship Id="rId115" Type="http://schemas.openxmlformats.org/officeDocument/2006/relationships/hyperlink" Target="https://semgrep.dev/blog/2026/introducing-malware-detection-and-response-automation/" TargetMode="External"/><Relationship Id="rId116" Type="http://schemas.openxmlformats.org/officeDocument/2006/relationships/hyperlink" Target="https://www.chainguard.dev/unchained/announcing-chainguards-industry-first-validated-fips-140-3-module-delivering-post-quantum-readiness" TargetMode="External"/><Relationship Id="rId117" Type="http://schemas.openxmlformats.org/officeDocument/2006/relationships/hyperlink" Target="https://konvu.com/blog/from-vulnerability-finding-to-exploit-proof" TargetMode="External"/><Relationship Id="rId118" Type="http://schemas.openxmlformats.org/officeDocument/2006/relationships/hyperlink" Target="https://blog.gitguardian.com/gitguardian-docker-sandbox-mixin-kit/" TargetMode="External"/><Relationship Id="rId119" Type="http://schemas.openxmlformats.org/officeDocument/2006/relationships/hyperlink" Target="https://blog.gitguardian.com/gitguardian-docker-sandbox-mixin-kit/" TargetMode="External"/><Relationship Id="rId120" Type="http://schemas.openxmlformats.org/officeDocument/2006/relationships/hyperlink" Target="https://github.com/GitGuardian/ggshield/releases/tag/v1.55.0" TargetMode="External"/><Relationship Id="rId121" Type="http://schemas.openxmlformats.org/officeDocument/2006/relationships/hyperlink" Target="https://apiiro.com/blog/" TargetMode="External"/><Relationship Id="rId122" Type="http://schemas.openxmlformats.org/officeDocument/2006/relationships/hyperlink" Target="https://www.wiz.io/blog/forrester-wave-for-proactive-security-2026" TargetMode="External"/><Relationship Id="rId123" Type="http://schemas.openxmlformats.org/officeDocument/2006/relationships/hyperlink" Target="https://www.crowdstrike.com/en-us/blog/crowdstrike-named-leader-forrester-wave-proactive-security-platforms-q3-2026/" TargetMode="External"/><Relationship Id="rId124" Type="http://schemas.openxmlformats.org/officeDocument/2006/relationships/hyperlink" Target="https://semgrep.dev/blog/2026/introducing-malware-detection-and-response-automation" TargetMode="External"/><Relationship Id="rId125" Type="http://schemas.openxmlformats.org/officeDocument/2006/relationships/hyperlink" Target="https://corgea.com/blog/changelog-september-24-2026" TargetMode="External"/><Relationship Id="rId126" Type="http://schemas.openxmlformats.org/officeDocument/2006/relationships/hyperlink" Target="https://docs.veracode.com/updates" TargetMode="External"/><Relationship Id="rId127" Type="http://schemas.openxmlformats.org/officeDocument/2006/relationships/hyperlink" Target="https://updates.snyk.io/a-change-to-the-snyk-code-priority-score/" TargetMode="External"/><Relationship Id="rId128" Type="http://schemas.openxmlformats.org/officeDocument/2006/relationships/hyperlink" Target="https://updates.snyk.io/ads-installer-now-available-as-a-packaged-binary/" TargetMode="External"/><Relationship Id="rId129" Type="http://schemas.openxmlformats.org/officeDocument/2006/relationships/hyperlink" Target="https://updates.snyk.io/snyk-for-jira-moves-from-atlassian-connect-to-forge/" TargetMode="External"/><Relationship Id="rId130" Type="http://schemas.openxmlformats.org/officeDocument/2006/relationships/hyperlink" Target="https://github.com/snyk/cli/releases/tag/v1.1307.4" TargetMode="External"/><Relationship Id="rId131" Type="http://schemas.openxmlformats.org/officeDocument/2006/relationships/hyperlink" Target="https://docs.gitlab.com/releases/patches/patch-release-gitlab-19-4-1-released/" TargetMode="External"/><Relationship Id="rId132" Type="http://schemas.openxmlformats.org/officeDocument/2006/relationships/hyperlink" Target="https://www.blackduck.com/blog/polaris-september-2026-update.html" TargetMode="External"/><Relationship Id="rId133"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134" Type="http://schemas.openxmlformats.org/officeDocument/2006/relationships/hyperlink" Target="https://cursor.com/changelog/rollouts-and-security-reviewer" TargetMode="External"/><Relationship Id="rId135" Type="http://schemas.openxmlformats.org/officeDocument/2006/relationships/hyperlink" Target="https://updates.snyk.io/ads-installer-now-available-as-a-packaged-binary/" TargetMode="External"/><Relationship Id="rId136" Type="http://schemas.openxmlformats.org/officeDocument/2006/relationships/hyperlink" Target="https://updates.snyk.io/snyk-for-jira-moves-from-atlassian-connect-to-forge/" TargetMode="External"/><Relationship Id="rId137" Type="http://schemas.openxmlformats.org/officeDocument/2006/relationships/hyperlink" Target="https://github.com/snyk/cli/releases/tag/v1.1307.4" TargetMode="External"/><Relationship Id="rId138" Type="http://schemas.openxmlformats.org/officeDocument/2006/relationships/hyperlink" Target="https://www.blackduck.com/blog/polaris-september-2026-update.html" TargetMode="External"/><Relationship Id="rId139" Type="http://schemas.openxmlformats.org/officeDocument/2006/relationships/hyperlink" Target="https://docs.veracode.com/updates" TargetMode="External"/><Relationship Id="rId140"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141"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142" Type="http://schemas.openxmlformats.org/officeDocument/2006/relationships/hyperlink" Target="https://docs.veracode.com/updates/r/c_all_static" TargetMode="External"/><Relationship Id="rId143" Type="http://schemas.openxmlformats.org/officeDocument/2006/relationships/hyperlink" Target="https://www.blackduck.com/blog/polaris-september-2026-update.html" TargetMode="External"/><Relationship Id="rId144" Type="http://schemas.openxmlformats.org/officeDocument/2006/relationships/hyperlink" Target="https://github.com/snyk/cli/releases/tag/v1.1307.4" TargetMode="External"/><Relationship Id="rId145" Type="http://schemas.openxmlformats.org/officeDocument/2006/relationships/hyperlink" Target="https://www.blackduck.com/blog/polaris-september-2026-update.html" TargetMode="External"/><Relationship Id="rId146" Type="http://schemas.openxmlformats.org/officeDocument/2006/relationships/hyperlink" Target="https://docs.veracode.com/updates/" TargetMode="External"/><Relationship Id="rId147" Type="http://schemas.openxmlformats.org/officeDocument/2006/relationships/hyperlink" Target="https://www.devarmor.com/blog/migrating-from-iriusrisk-to-devarmor" TargetMode="External"/><Relationship Id="rId148" Type="http://schemas.openxmlformats.org/officeDocument/2006/relationships/hyperlink" Target="https://www.primesec.ai/resources/code-volume-headcount-appsec-pricing" TargetMode="External"/><Relationship Id="rId149" Type="http://schemas.openxmlformats.org/officeDocument/2006/relationships/hyperlink" Target="https://www.primesec.ai/resources/code-volume-headcount-appsec-pricing" TargetMode="External"/><Relationship Id="rId150" Type="http://schemas.openxmlformats.org/officeDocument/2006/relationships/hyperlink" Target="https://updates.snyk.io/announcing-snyk-cli-v1-1307-4/" TargetMode="External"/><Relationship Id="rId151" Type="http://schemas.openxmlformats.org/officeDocument/2006/relationships/hyperlink" Target="https://updates.snyk.io/ads-installer-now-available-as-a-packaged-binary/" TargetMode="External"/><Relationship Id="rId152" Type="http://schemas.openxmlformats.org/officeDocument/2006/relationships/hyperlink" Target="https://updates.snyk.io/a-change-to-the-snyk-code-priority-score/" TargetMode="External"/><Relationship Id="rId153" Type="http://schemas.openxmlformats.org/officeDocument/2006/relationships/hyperlink" Target="https://www.blackduck.com/blog/polaris-september-2026-update.html" TargetMode="External"/><Relationship Id="rId154" Type="http://schemas.openxmlformats.org/officeDocument/2006/relationships/hyperlink" Target="https://docs.gitlab.com/releases/patches/patch-release-gitlab-19-4-1-released/" TargetMode="External"/><Relationship Id="rId155" Type="http://schemas.openxmlformats.org/officeDocument/2006/relationships/hyperlink" Target="https://www.globenewswire.com/news-release/2026/09/23/3367485/0/en/cycode-extends-its-adlc-security-capabilities-to-developers-workstations-stopping-software-supply-chain-attacks-before-they-start.html" TargetMode="External"/><Relationship Id="rId156" Type="http://schemas.openxmlformats.org/officeDocument/2006/relationships/hyperlink" Target="https://www.aikido.dev/blog/aikido-deel-partnership" TargetMode="External"/><Relationship Id="rId157" Type="http://schemas.openxmlformats.org/officeDocument/2006/relationships/hyperlink" Target="https://securityboulevard.com/2026/09/aikido-altar-brings-glm-5-3-security-workloads-on-prem/" TargetMode="External"/><Relationship Id="rId158" Type="http://schemas.openxmlformats.org/officeDocument/2006/relationships/hyperlink" Target="https://www.kodemsecurity.com/resources/kodem-joins-openai-daybreak-cyber-partner-program" TargetMode="External"/><Relationship Id="rId159" Type="http://schemas.openxmlformats.org/officeDocument/2006/relationships/hyperlink" Target="https://snyk.io/blog/so-i-asked-my-agent-instead/" TargetMode="External"/><Relationship Id="rId160" Type="http://schemas.openxmlformats.org/officeDocument/2006/relationships/hyperlink" Target="https://www.nightfall.ai/news/nightfall-ai-delivers-identity-aware-data-security-and-runtime-guardrails-for-ai-agents-with-expanded-okta-integration" TargetMode="External"/><Relationship Id="rId161" Type="http://schemas.openxmlformats.org/officeDocument/2006/relationships/hyperlink" Target="https://github.com/CycloneDX/cdxgen/releases/tag/v13.2.0" TargetMode="External"/><Relationship Id="rId162" Type="http://schemas.openxmlformats.org/officeDocument/2006/relationships/hyperlink" Target="https://www.sonatype.com/blog/sonatype-is-now-awardable-on-the-platform-one-solutions-marketplace" TargetMode="External"/><Relationship Id="rId163" Type="http://schemas.openxmlformats.org/officeDocument/2006/relationships/hyperlink" Target="https://www.wiz.io/blog/wiz-mcp-agent-integrations" TargetMode="External"/><Relationship Id="rId164" Type="http://schemas.openxmlformats.org/officeDocument/2006/relationships/hyperlink" Target="https://docs.defectdojo.com/releases/pro/changelog/" TargetMode="External"/><Relationship Id="rId165" Type="http://schemas.openxmlformats.org/officeDocument/2006/relationships/hyperlink" Target="https://docs.semgrep.dev/release-notes/2026-09-21" TargetMode="External"/><Relationship Id="rId166" Type="http://schemas.openxmlformats.org/officeDocument/2006/relationships/hyperlink" Target="https://www.aikido.dev/blog/aikido-altar-open-weight-ai-sovereign-security" TargetMode="External"/><Relationship Id="rId167" Type="http://schemas.openxmlformats.org/officeDocument/2006/relationships/hyperlink" Target="https://github.blog/changelog/2026-09-21-github-enterprise-adds-credential-inventory-exports" TargetMode="External"/><Relationship Id="rId168" Type="http://schemas.openxmlformats.org/officeDocument/2006/relationships/hyperlink" Target="https://www.aikido.dev/blog/aikido-altar-open-weight-ai-sovereign-security" TargetMode="External"/><Relationship Id="rId169" Type="http://schemas.openxmlformats.org/officeDocument/2006/relationships/hyperlink" Target="https://developers.redhat.com/articles/2026/09/21/ai-threat-modeling-shouldnt-be-a-bottleneck-so-we-open-sourced-ours" TargetMode="External"/><Relationship Id="rId170" Type="http://schemas.openxmlformats.org/officeDocument/2006/relationships/hyperlink" Target="https://www.aikido.dev/blog/aikido-altar-open-weight-ai-sovereign-security" TargetMode="External"/><Relationship Id="rId171" Type="http://schemas.openxmlformats.org/officeDocument/2006/relationships/hyperlink" Target="https://phoenix.security/phoenix-cli-and-mcp-server/" TargetMode="External"/><Relationship Id="rId172" Type="http://schemas.openxmlformats.org/officeDocument/2006/relationships/hyperlink" Target="https://docs.semgrep.dev/release-notes/" TargetMode="External"/><Relationship Id="rId173" Type="http://schemas.openxmlformats.org/officeDocument/2006/relationships/hyperlink" Target="https://community.opentext.com/cybersec/fortify/w/tips/54207/fortify-code-security-extension-for-visual-studio-code-26-4-released" TargetMode="External"/><Relationship Id="rId174" Type="http://schemas.openxmlformats.org/officeDocument/2006/relationships/hyperlink" Target="https://github.com/DependencyTrack/dependency-track/releases/tag/5.1.1" TargetMode="External"/><Relationship Id="rId175" Type="http://schemas.openxmlformats.org/officeDocument/2006/relationships/hyperlink" Target="https://github.com/OWASP/cornucopia/releases/tag/v3.5.4" TargetMode="External"/><Relationship Id="rId176" Type="http://schemas.openxmlformats.org/officeDocument/2006/relationships/hyperlink" Target="https://www.interlynk.io/resources/how-to-evaluate-an-sbom-generator-for-embedded-firmware" TargetMode="External"/><Relationship Id="rId177" Type="http://schemas.openxmlformats.org/officeDocument/2006/relationships/hyperlink" Target="https://updates.snyk.io/" TargetMode="External"/><Relationship Id="rId178" Type="http://schemas.openxmlformats.org/officeDocument/2006/relationships/hyperlink" Target="https://github.blog/changelog/2026-09-18-stage-only-npm-tokens-for-safer-automation" TargetMode="External"/><Relationship Id="rId179" Type="http://schemas.openxmlformats.org/officeDocument/2006/relationships/hyperlink" Target="https://updates.snyk.io/evo-mcp-server-now-available/" TargetMode="External"/><Relationship Id="rId180" Type="http://schemas.openxmlformats.org/officeDocument/2006/relationships/hyperlink" Target="https://github.blog/changelog/2026-09-18-stage-only-npm-tokens-for-safer-automation" TargetMode="External"/><Relationship Id="rId181" Type="http://schemas.openxmlformats.org/officeDocument/2006/relationships/hyperlink" Target="https://github.com/kusari-oss/waybill/releases" TargetMode="External"/><Relationship Id="rId182" Type="http://schemas.openxmlformats.org/officeDocument/2006/relationships/hyperlink" Target="https://github.com/msaad00/agent-bom/releases" TargetMode="External"/><Relationship Id="rId183" Type="http://schemas.openxmlformats.org/officeDocument/2006/relationships/hyperlink" Target="https://updates.snyk.io/announcing-snyk-cli-v1-1307-3/" TargetMode="External"/><Relationship Id="rId184" Type="http://schemas.openxmlformats.org/officeDocument/2006/relationships/hyperlink" Target="https://checkmarx.com/inside-checkmarx-triage-remediation-assist/" TargetMode="External"/><Relationship Id="rId185" Type="http://schemas.openxmlformats.org/officeDocument/2006/relationships/hyperlink" Target="https://docs.gitlab.com/releases/19/gitlab-19-4-released/" TargetMode="External"/><Relationship Id="rId186" Type="http://schemas.openxmlformats.org/officeDocument/2006/relationships/hyperlink" Target="https://corgea.com/blog/changelog-september-17-2026" TargetMode="External"/><Relationship Id="rId187" Type="http://schemas.openxmlformats.org/officeDocument/2006/relationships/hyperlink" Target="https://docs.gitlab.com/releases/19/gitlab-19-4-released/" TargetMode="External"/><Relationship Id="rId188" Type="http://schemas.openxmlformats.org/officeDocument/2006/relationships/hyperlink" Target="https://docs.gitlab.com/releases/19/gitlab-19-4-released/" TargetMode="External"/><Relationship Id="rId189" Type="http://schemas.openxmlformats.org/officeDocument/2006/relationships/hyperlink" Target="https://www.globenewswire.com/news-release/2026/09/17/3363903/0/en/aikido-achieves-aws-security-competency-for-application-security.html" TargetMode="External"/><Relationship Id="rId190" Type="http://schemas.openxmlformats.org/officeDocument/2006/relationships/hyperlink" Target="https://github.com/anchore/grype/releases" TargetMode="External"/><Relationship Id="rId191" Type="http://schemas.openxmlformats.org/officeDocument/2006/relationships/hyperlink" Target="https://docs.gitlab.com/releases/19/gitlab-19-4-released/" TargetMode="External"/><Relationship Id="rId192" Type="http://schemas.openxmlformats.org/officeDocument/2006/relationships/hyperlink" Target="https://github.com/anchore/syft/releases" TargetMode="External"/><Relationship Id="rId193" Type="http://schemas.openxmlformats.org/officeDocument/2006/relationships/hyperlink" Target="https://github.com/anchore/grype/releases/tag/v0.119.0" TargetMode="External"/><Relationship Id="rId194" Type="http://schemas.openxmlformats.org/officeDocument/2006/relationships/hyperlink" Target="https://docs.gitlab.com/releases/19/gitlab-19-4-released/" TargetMode="External"/><Relationship Id="rId195" Type="http://schemas.openxmlformats.org/officeDocument/2006/relationships/hyperlink" Target="https://docs.gitlab.com/releases/19/gitlab-19-4-released/" TargetMode="External"/><Relationship Id="rId196" Type="http://schemas.openxmlformats.org/officeDocument/2006/relationships/hyperlink" Target="https://docs.gitlab.com/releases/19/gitlab-19-4-released/" TargetMode="External"/><Relationship Id="rId197" Type="http://schemas.openxmlformats.org/officeDocument/2006/relationships/hyperlink" Target="https://www.globenewswire.com/news-release/2026/09/17/3363903/0/en/aikido-achieves-aws-security-competency-for-application-security.html" TargetMode="External"/><Relationship Id="rId198" Type="http://schemas.openxmlformats.org/officeDocument/2006/relationships/hyperlink" Target="https://corgea.com/blog/changelog-september-17-2026" TargetMode="External"/><Relationship Id="rId199" Type="http://schemas.openxmlformats.org/officeDocument/2006/relationships/hyperlink" Target="https://github.blog/changelog/2026-09-16-code-scanning-ai-scan-no-longer-requires-codeql-default-setup" TargetMode="External"/><Relationship Id="rId200" Type="http://schemas.openxmlformats.org/officeDocument/2006/relationships/hyperlink" Target="https://www.greptile.com/changelog" TargetMode="External"/><Relationship Id="rId201" Type="http://schemas.openxmlformats.org/officeDocument/2006/relationships/hyperlink" Target="https://updates.snyk.io/" TargetMode="External"/><Relationship Id="rId202" Type="http://schemas.openxmlformats.org/officeDocument/2006/relationships/hyperlink" Target="https://socket.dev/changelog/alert-event-data-older-than-1-year-will-age-out-starting-november-2026" TargetMode="External"/><Relationship Id="rId203" Type="http://schemas.openxmlformats.org/officeDocument/2006/relationships/hyperlink" Target="https://github.com/Checkmarx/2ms/releases" TargetMode="External"/><Relationship Id="rId204" Type="http://schemas.openxmlformats.org/officeDocument/2006/relationships/hyperlink" Target="https://docs.veracode.com/updates/r/c_all_static" TargetMode="External"/><Relationship Id="rId205" Type="http://schemas.openxmlformats.org/officeDocument/2006/relationships/hyperlink" Target="https://docs.jfrog.com/releases/docs/xray" TargetMode="External"/><Relationship Id="rId206" Type="http://schemas.openxmlformats.org/officeDocument/2006/relationships/hyperlink" Target="https://docs.devici.com/latest/release-notes/" TargetMode="External"/><Relationship Id="rId207" Type="http://schemas.openxmlformats.org/officeDocument/2006/relationships/hyperlink" Target="https://www.prnewswire.com/news-releases/threatmodeler-achieves-fedramp-moderate-authorization-through-partnership-with-knox-systems-302880133.html" TargetMode="External"/><Relationship Id="rId208" Type="http://schemas.openxmlformats.org/officeDocument/2006/relationships/hyperlink" Target="https://updates.snyk.io/custom-ca-certificate-support/" TargetMode="External"/><Relationship Id="rId209" Type="http://schemas.openxmlformats.org/officeDocument/2006/relationships/hyperlink" Target="https://docs.veracode.com/updates/r/c_all_int" TargetMode="External"/><Relationship Id="rId210" Type="http://schemas.openxmlformats.org/officeDocument/2006/relationships/hyperlink" Target="https://www.ox.security/blog/ox-security-launches-ox-cloud-ai-agent-security/" TargetMode="External"/><Relationship Id="rId211" Type="http://schemas.openxmlformats.org/officeDocument/2006/relationships/hyperlink" Target="https://github.blog/changelog/2026-09-15-enforce-github-advanced-security-configurations" TargetMode="External"/><Relationship Id="rId212" Type="http://schemas.openxmlformats.org/officeDocument/2006/relationships/hyperlink" Target="https://docs.coderabbit.ai/changelog" TargetMode="External"/><Relationship Id="rId213" Type="http://schemas.openxmlformats.org/officeDocument/2006/relationships/hyperlink" Target="https://www.chainguard.dev/unchained/announcing-the-sovereign-artifacts-beta" TargetMode="External"/><Relationship Id="rId214" Type="http://schemas.openxmlformats.org/officeDocument/2006/relationships/hyperlink" Target="https://blog.secureflag.com/2026/09/15/secureflag-mcp-server/" TargetMode="External"/><Relationship Id="rId215" Type="http://schemas.openxmlformats.org/officeDocument/2006/relationships/hyperlink" Target="https://github.com/precogly/precogly/blob/main/CHANGELOG.md" TargetMode="External"/><Relationship Id="rId216" Type="http://schemas.openxmlformats.org/officeDocument/2006/relationships/hyperlink" Target="https://github.com/snyk/user-docs/pull/1664" TargetMode="External"/><Relationship Id="rId217" Type="http://schemas.openxmlformats.org/officeDocument/2006/relationships/hyperlink" Target="https://docs.semgrep.dev/release-notes/2026-09-14" TargetMode="External"/><Relationship Id="rId218" Type="http://schemas.openxmlformats.org/officeDocument/2006/relationships/hyperlink" Target="https://docs.jfrog.com/releases/docs/xray" TargetMode="External"/><Relationship Id="rId219" Type="http://schemas.openxmlformats.org/officeDocument/2006/relationships/hyperlink" Target="https://docs.semgrep.dev/release-notes/2026-09-14" TargetMode="External"/><Relationship Id="rId220" Type="http://schemas.openxmlformats.org/officeDocument/2006/relationships/hyperlink" Target="https://github.com/google/osv-scanner/releases/tag/v2.6.0" TargetMode="External"/><Relationship Id="rId221" Type="http://schemas.openxmlformats.org/officeDocument/2006/relationships/hyperlink" Target="https://docs.dependencytrack.org/changelog/" TargetMode="External"/><Relationship Id="rId222" Type="http://schemas.openxmlformats.org/officeDocument/2006/relationships/hyperlink" Target="https://docs.gitguardian.com/releases/detection-engine/2026/09/14/changelog" TargetMode="External"/><Relationship Id="rId223" Type="http://schemas.openxmlformats.org/officeDocument/2006/relationships/hyperlink" Target="https://docs.semgrep.dev/release-notes/" TargetMode="External"/><Relationship Id="rId224" Type="http://schemas.openxmlformats.org/officeDocument/2006/relationships/hyperlink" Target="https://docs.dependencytrack.org/changelog/" TargetMode="External"/><Relationship Id="rId225" Type="http://schemas.openxmlformats.org/officeDocument/2006/relationships/hyperlink" Target="https://www.threatmodeler.ai/resources/blog/threatmodeler-achieves-fedramp-moderate-authorization" TargetMode="External"/><Relationship Id="rId226" Type="http://schemas.openxmlformats.org/officeDocument/2006/relationships/hyperlink" Target="https://docs.semgrep.dev/release-notes/2026-09-14" TargetMode="External"/><Relationship Id="rId227" Type="http://schemas.openxmlformats.org/officeDocument/2006/relationships/hyperlink" Target="https://docs.defectdojo.com/releases/pro/changelog/" TargetMode="External"/><Relationship Id="rId228" Type="http://schemas.openxmlformats.org/officeDocument/2006/relationships/hyperlink" Target="https://www.gitguardian.com/" TargetMode="External"/><Relationship Id="rId229" Type="http://schemas.openxmlformats.org/officeDocument/2006/relationships/hyperlink" Target="https://jfrog.com/blog/" TargetMode="External"/><Relationship Id="rId230" Type="http://schemas.openxmlformats.org/officeDocument/2006/relationships/hyperlink" Target="https://snyk.io/" TargetMode="External"/><Relationship Id="rId231" Type="http://schemas.openxmlformats.org/officeDocument/2006/relationships/hyperlink" Target="https://checkmarx.com/" TargetMode="External"/><Relationship Id="rId232" Type="http://schemas.openxmlformats.org/officeDocument/2006/relationships/hyperlink" Target="https://docs.snyk.io/" TargetMode="External"/><Relationship Id="rId233"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hyperlink" Target="https://owasp.org/www-project-benchmark/" TargetMode="External"/><Relationship Id="rId2" Type="http://schemas.openxmlformats.org/officeDocument/2006/relationships/hyperlink" Target="https://owasp.org/www-community/Source_Code_Analysis_Tools" TargetMode="External"/><Relationship Id="rId3" Type="http://schemas.openxmlformats.org/officeDocument/2006/relationships/hyperlink" Target="https://github.com/OWASP/ASST" TargetMode="External"/><Relationship Id="rId4" Type="http://schemas.openxmlformats.org/officeDocument/2006/relationships/hyperlink" Target="https://find-sec-bugs.github.io/" TargetMode="External"/><Relationship Id="rId5" Type="http://schemas.openxmlformats.org/officeDocument/2006/relationships/hyperlink" Target="https://owasp.org/www-project-application-security-verification-standard/" TargetMode="External"/><Relationship Id="rId6" Type="http://schemas.openxmlformats.org/officeDocument/2006/relationships/hyperlink" Target="https://genai.owasp.org/" TargetMode="External"/><Relationship Id="rId7" Type="http://schemas.openxmlformats.org/officeDocument/2006/relationships/hyperlink" Target="https://cheatsheetseries.owasp.org/cheatsheets/Secrets_Management_Cheat_Sheet.html" TargetMode="External"/><Relationship Id="rId8" Type="http://schemas.openxmlformats.org/officeDocument/2006/relationships/hyperlink" Target="https://owasp.org/www-project-non-human-identities-top-10/" TargetMode="External"/><Relationship Id="rId9" Type="http://schemas.openxmlformats.org/officeDocument/2006/relationships/hyperlink" Target="https://genai.owasp.org/llm-top-10/" TargetMode="External"/><Relationship Id="rId10" Type="http://schemas.openxmlformats.org/officeDocument/2006/relationships/hyperlink" Target="https://github.com/OWASP/ASVS/releases" TargetMode="External"/><Relationship Id="rId11" Type="http://schemas.openxmlformats.org/officeDocument/2006/relationships/hyperlink" Target="https://owasp.org/www-project-devsecops-guideline/" TargetMode="External"/><Relationship Id="rId12" Type="http://schemas.openxmlformats.org/officeDocument/2006/relationships/hyperlink" Target="https://cyclonedx.org/" TargetMode="External"/><Relationship Id="rId13" Type="http://schemas.openxmlformats.org/officeDocument/2006/relationships/hyperlink" Target="https://dependencytrack.org/" TargetMode="External"/><Relationship Id="rId14" Type="http://schemas.openxmlformats.org/officeDocument/2006/relationships/hyperlink" Target="https://scvs.owasp.org/" TargetMode="External"/><Relationship Id="rId15" Type="http://schemas.openxmlformats.org/officeDocument/2006/relationships/hyperlink" Target="https://owaspai.org/" TargetMode="External"/><Relationship Id="rId16" Type="http://schemas.openxmlformats.org/officeDocument/2006/relationships/hyperlink" Target="https://genai.owasp.org/llmrisk/llm032025-supply-chain/" TargetMode="External"/><Relationship Id="rId17" Type="http://schemas.openxmlformats.org/officeDocument/2006/relationships/hyperlink" Target="https://genai.owasp.org/initiatives/" TargetMode="External"/><Relationship Id="rId18" Type="http://schemas.openxmlformats.org/officeDocument/2006/relationships/hyperlink" Target="https://genai.owasp.org/initiatives/agentic-security-initiative/" TargetMode="External"/><Relationship Id="rId19" Type="http://schemas.openxmlformats.org/officeDocument/2006/relationships/hyperlink" Target="https://github.com/OWASP/Precogly" TargetMode="External"/><Relationship Id="rId20" Type="http://schemas.openxmlformats.org/officeDocument/2006/relationships/hyperlink" Target="https://github.com/OWASP/ASVS" TargetMode="External"/><Relationship Id="rId21" Type="http://schemas.openxmlformats.org/officeDocument/2006/relationships/hyperlink" Target="https://mas.owasp.org/" TargetMode="External"/><Relationship Id="rId22" Type="http://schemas.openxmlformats.org/officeDocument/2006/relationships/hyperlink" Target="https://owaspsamm.org/" TargetMode="External"/><Relationship Id="rId23" Type="http://schemas.openxmlformats.org/officeDocument/2006/relationships/hyperlink" Target="https://dsomm.owasp.org/" TargetMode="External"/><Relationship Id="rId24" Type="http://schemas.openxmlformats.org/officeDocument/2006/relationships/hyperlink" Target="https://top10proactive.owasp.org/" TargetMode="External"/><Relationship Id="rId25" Type="http://schemas.openxmlformats.org/officeDocument/2006/relationships/hyperlink" Target="https://securityrat.org/" TargetMode="External"/><Relationship Id="rId26" Type="http://schemas.openxmlformats.org/officeDocument/2006/relationships/hyperlink" Target="https://cheatsheetseries.owasp.org/" TargetMode="External"/><Relationship Id="rId27" Type="http://schemas.openxmlformats.org/officeDocument/2006/relationships/hyperlink" Target="https://top10.owasp.org/2025/" TargetMode="External"/><Relationship Id="rId28" Type="http://schemas.openxmlformats.org/officeDocument/2006/relationships/hyperlink" Target="https://genai.owasp.org/llm-top-10/" TargetMode="External"/><Relationship Id="rId29" Type="http://schemas.openxmlformats.org/officeDocument/2006/relationships/hyperlink" Target="https://owaspai.org/" TargetMode="External"/><Relationship Id="rId30" Type="http://schemas.openxmlformats.org/officeDocument/2006/relationships/hyperlink" Target="https://owasp.org/www-project-security-champions-guidebook/" TargetMode="External"/><Relationship Id="rId3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hyperlink" Target="https://www.arnica.io/" TargetMode="External"/><Relationship Id="rId2" Type="http://schemas.openxmlformats.org/officeDocument/2006/relationships/hyperlink" Target="https://www.coderabbit.ai/security" TargetMode="External"/><Relationship Id="rId3" Type="http://schemas.openxmlformats.org/officeDocument/2006/relationships/hyperlink" Target="https://cursor.com/bugbot" TargetMode="External"/><Relationship Id="rId4" Type="http://schemas.openxmlformats.org/officeDocument/2006/relationships/hyperlink" Target="https://www.endorlabs.com/use-case/sast" TargetMode="External"/><Relationship Id="rId5" Type="http://schemas.openxmlformats.org/officeDocument/2006/relationships/hyperlink" Target="https://www.greptile.com/" TargetMode="External"/><Relationship Id="rId6" Type="http://schemas.openxmlformats.org/officeDocument/2006/relationships/hyperlink" Target="https://www.kodemsecurity.com/platform/sast" TargetMode="External"/><Relationship Id="rId7" Type="http://schemas.openxmlformats.org/officeDocument/2006/relationships/hyperlink" Target="https://zeropath.com/" TargetMode="External"/><Relationship Id="rId8" Type="http://schemas.openxmlformats.org/officeDocument/2006/relationships/hyperlink" Target="https://www.opengrep.dev/" TargetMode="External"/><Relationship Id="rId9" Type="http://schemas.openxmlformats.org/officeDocument/2006/relationships/hyperlink" Target="https://air.security/" TargetMode="External"/><Relationship Id="rId10" Type="http://schemas.openxmlformats.org/officeDocument/2006/relationships/hyperlink" Target="https://www.echo.ai/" TargetMode="External"/><Relationship Id="rId11" Type="http://schemas.openxmlformats.org/officeDocument/2006/relationships/hyperlink" Target="https://konvu.com/" TargetMode="External"/><Relationship Id="rId12" Type="http://schemas.openxmlformats.org/officeDocument/2006/relationships/hyperlink" Target="https://safedep.io/" TargetMode="External"/><Relationship Id="rId13" Type="http://schemas.openxmlformats.org/officeDocument/2006/relationships/hyperlink" Target="https://www.cremit.io/" TargetMode="External"/><Relationship Id="rId14" Type="http://schemas.openxmlformats.org/officeDocument/2006/relationships/hyperlink" Target="https://github.com/betterleaks/betterleaks" TargetMode="External"/><Relationship Id="rId15" Type="http://schemas.openxmlformats.org/officeDocument/2006/relationships/hyperlink" Target="https://air.security/" TargetMode="External"/><Relationship Id="rId16" Type="http://schemas.openxmlformats.org/officeDocument/2006/relationships/hyperlink" Target="https://noma.security/" TargetMode="External"/><Relationship Id="rId17" Type="http://schemas.openxmlformats.org/officeDocument/2006/relationships/hyperlink" Target="https://www.oligo.security/" TargetMode="External"/><Relationship Id="rId18" Type="http://schemas.openxmlformats.org/officeDocument/2006/relationships/hyperlink" Target="https://safeguard.sh/" TargetMode="External"/><Relationship Id="rId19" Type="http://schemas.openxmlformats.org/officeDocument/2006/relationships/hyperlink" Target="https://zeropath.com/products/aibom" TargetMode="External"/><Relationship Id="rId20" Type="http://schemas.openxmlformats.org/officeDocument/2006/relationships/hyperlink" Target="https://github.com/msaad00/agent-bom" TargetMode="External"/><Relationship Id="rId21" Type="http://schemas.openxmlformats.org/officeDocument/2006/relationships/hyperlink" Target="https://owasp-genai-aibom.org/" TargetMode="External"/><Relationship Id="rId22" Type="http://schemas.openxmlformats.org/officeDocument/2006/relationships/hyperlink" Target="https://github.com/awslabs/threat-modeling-mcp-server" TargetMode="External"/><Relationship Id="rId23" Type="http://schemas.openxmlformats.org/officeDocument/2006/relationships/hyperlink" Target="https://www.devarmor.com/" TargetMode="External"/><Relationship Id="rId24" Type="http://schemas.openxmlformats.org/officeDocument/2006/relationships/hyperlink" Target="https://cloudsecurityalliance.org/blog/2025/02/06/agentic-ai-threat-modeling-framework-maestro" TargetMode="External"/><Relationship Id="rId25" Type="http://schemas.openxmlformats.org/officeDocument/2006/relationships/hyperlink" Target="https://www.oplane.com/" TargetMode="External"/><Relationship Id="rId26" Type="http://schemas.openxmlformats.org/officeDocument/2006/relationships/hyperlink" Target="https://genai.owasp.org/initiatives/agentic-security-initiative/" TargetMode="External"/><Relationship Id="rId27" Type="http://schemas.openxmlformats.org/officeDocument/2006/relationships/hyperlink" Target="https://www.primesec.ai/" TargetMode="External"/><Relationship Id="rId28" Type="http://schemas.openxmlformats.org/officeDocument/2006/relationships/hyperlink" Target="https://seezo.io/" TargetMode="External"/><Relationship Id="rId29" Type="http://schemas.openxmlformats.org/officeDocument/2006/relationships/hyperlink" Target="https://www.precogly.org/" TargetMode="External"/><Relationship Id="rId30" Type="http://schemas.openxmlformats.org/officeDocument/2006/relationships/hyperlink" Target="https://github.com/RedHatProductSecurity/agentic-threat-modeling" TargetMode="External"/><Relationship Id="rId31" Type="http://schemas.openxmlformats.org/officeDocument/2006/relationships/hyperlink" Target="https://www.primesec.ai/" TargetMode="External"/><Relationship Id="rId32" Type="http://schemas.openxmlformats.org/officeDocument/2006/relationships/hyperlink" Target="https://www.remysec.com/" TargetMode="External"/><Relationship Id="rId33" Type="http://schemas.openxmlformats.org/officeDocument/2006/relationships/hyperlink" Target="https://seezo.io/" TargetMode="External"/><Relationship Id="rId34" Type="http://schemas.openxmlformats.org/officeDocument/2006/relationships/hyperlink" Target="https://www.amplify.security/" TargetMode="External"/><Relationship Id="rId35" Type="http://schemas.openxmlformats.org/officeDocument/2006/relationships/hyperlink" Target="https://aptori.com/" TargetMode="External"/><Relationship Id="rId36" Type="http://schemas.openxmlformats.org/officeDocument/2006/relationships/hyperlink" Target="https://clover.security/" TargetMode="External"/><Relationship Id="rId37" Type="http://schemas.openxmlformats.org/officeDocument/2006/relationships/hyperlink" Target="https://corgea.com/" TargetMode="External"/><Relationship Id="rId38" Type="http://schemas.openxmlformats.org/officeDocument/2006/relationships/hyperlink" Target="https://dryrun.security/" TargetMode="External"/><Relationship Id="rId39" Type="http://schemas.openxmlformats.org/officeDocument/2006/relationships/hyperlink" Target="https://gomboc.ai/" TargetMode="External"/><Relationship Id="rId40" Type="http://schemas.openxmlformats.org/officeDocument/2006/relationships/hyperlink" Target="https://www.nullify.ai/" TargetMode="External"/><Relationship Id="rId41" Type="http://schemas.openxmlformats.org/officeDocument/2006/relationships/hyperlink" Target="https://zeropath.com/" TargetMode="External"/><Relationship Id="rId42" Type="http://schemas.openxmlformats.org/officeDocument/2006/relationships/hyperlink" Target="https://www.endorlabs.com/use-case/sast" TargetMode="External"/><Relationship Id="rId43" Type="http://schemas.openxmlformats.org/officeDocument/2006/relationships/hyperlink" Target="https://www.kodemsecurity.com/platform/sast" TargetMode="External"/><Relationship Id="rId44" Type="http://schemas.openxmlformats.org/officeDocument/2006/relationships/hyperlink" Target="https://www.arnica.io/" TargetMode="External"/><Relationship Id="rId45" Type="http://schemas.openxmlformats.org/officeDocument/2006/relationships/hyperlink" Target="https://www.greptile.com/" TargetMode="External"/><Relationship Id="rId46" Type="http://schemas.openxmlformats.org/officeDocument/2006/relationships/hyperlink" Target="https://cycode.com/platform/sast/" TargetMode="External"/><Relationship Id="rId47" Type="http://schemas.openxmlformats.org/officeDocument/2006/relationships/hyperlink" Target="https://www.sonarsource.com/products/sonarqube/" TargetMode="External"/><Relationship Id="rId48" Type="http://schemas.openxmlformats.org/officeDocument/2006/relationships/hyperlink" Target="https://snyk.io/" TargetMode="External"/><Relationship Id="rId49" Type="http://schemas.openxmlformats.org/officeDocument/2006/relationships/hyperlink" Target="https://checkmarx.com/product/checkmarx-one-assist/" TargetMode="External"/><Relationship Id="rId50" Type="http://schemas.openxmlformats.org/officeDocument/2006/relationships/hyperlink" Target="https://www.blackduck.com/signal-ai-appsec.html" TargetMode="External"/><Relationship Id="rId51" Type="http://schemas.openxmlformats.org/officeDocument/2006/relationships/hyperlink" Target="https://www.opentext.com/products/application-security-aviator" TargetMode="External"/><Relationship Id="rId52" Type="http://schemas.openxmlformats.org/officeDocument/2006/relationships/hyperlink" Target="https://www.hcl-software.com/appscan/products/rapidfix" TargetMode="External"/><Relationship Id="rId53" Type="http://schemas.openxmlformats.org/officeDocument/2006/relationships/hyperlink" Target="https://safedep.io/" TargetMode="External"/><Relationship Id="rId54" Type="http://schemas.openxmlformats.org/officeDocument/2006/relationships/hyperlink" Target="https://www.echohq.com/" TargetMode="External"/><Relationship Id="rId55" Type="http://schemas.openxmlformats.org/officeDocument/2006/relationships/hyperlink" Target="https://air.security/" TargetMode="External"/><Relationship Id="rId56" Type="http://schemas.openxmlformats.org/officeDocument/2006/relationships/hyperlink" Target="https://www.minimus.io/" TargetMode="External"/><Relationship Id="rId57" Type="http://schemas.openxmlformats.org/officeDocument/2006/relationships/hyperlink" Target="https://www.rapidfort.com/" TargetMode="External"/><Relationship Id="rId58" Type="http://schemas.openxmlformats.org/officeDocument/2006/relationships/hyperlink" Target="https://securitybrief.co.uk/story/ossprey-raises-usd-2-65-million-for-supply-chain-security" TargetMode="External"/><Relationship Id="rId59" Type="http://schemas.openxmlformats.org/officeDocument/2006/relationships/hyperlink" Target="https://www.cremit.io/" TargetMode="External"/><Relationship Id="rId60" Type="http://schemas.openxmlformats.org/officeDocument/2006/relationships/hyperlink" Target="https://www.geordie.ai/" TargetMode="External"/><Relationship Id="rId61" Type="http://schemas.openxmlformats.org/officeDocument/2006/relationships/hyperlink" Target="https://www.defakto.security/" TargetMode="External"/><Relationship Id="rId62" Type="http://schemas.openxmlformats.org/officeDocument/2006/relationships/hyperlink" Target="https://www.token.security/" TargetMode="External"/><Relationship Id="rId63" Type="http://schemas.openxmlformats.org/officeDocument/2006/relationships/hyperlink" Target="https://www.clutch.security/" TargetMode="External"/><Relationship Id="rId64" Type="http://schemas.openxmlformats.org/officeDocument/2006/relationships/hyperlink" Target="https://www.obsidiansecurity.com/" TargetMode="External"/><Relationship Id="rId65" Type="http://schemas.openxmlformats.org/officeDocument/2006/relationships/hyperlink" Target="https://www.helpnetsecurity.com/2026/09/25/new-infosec-products-of-the-month-september-2026/" TargetMode="External"/><Relationship Id="rId66" Type="http://schemas.openxmlformats.org/officeDocument/2006/relationships/hyperlink" Target="https://www.helpnetsecurity.com/2026/09/25/new-infosec-products-of-the-month-september-2026/" TargetMode="External"/><Relationship Id="rId67" Type="http://schemas.openxmlformats.org/officeDocument/2006/relationships/hyperlink" Target="https://www.helpnetsecurity.com/2026/09/25/new-infosec-products-of-the-month-september-2026/" TargetMode="External"/><Relationship Id="rId68" Type="http://schemas.openxmlformats.org/officeDocument/2006/relationships/hyperlink" Target="https://github.com/cisco-ai-defense/aibom" TargetMode="External"/><Relationship Id="rId69" Type="http://schemas.openxmlformats.org/officeDocument/2006/relationships/hyperlink" Target="https://www.helpnetsecurity.com/2026/03/23/apiiro-ai-threat-modeling/" TargetMode="External"/><Relationship Id="rId70" Type="http://schemas.openxmlformats.org/officeDocument/2006/relationships/hyperlink" Target="https://docs.sdelements.com/release/latest/guide/docs/release_notes/" TargetMode="External"/><Relationship Id="rId71" Type="http://schemas.openxmlformats.org/officeDocument/2006/relationships/hyperlink" Target="https://zeropath.com/" TargetMode="External"/><Relationship Id="rId72" Type="http://schemas.openxmlformats.org/officeDocument/2006/relationships/hyperlink" Target="https://corgea.com/" TargetMode="External"/><Relationship Id="rId73" Type="http://schemas.openxmlformats.org/officeDocument/2006/relationships/hyperlink" Target="https://aptori.com/" TargetMode="External"/><Relationship Id="rId74" Type="http://schemas.openxmlformats.org/officeDocument/2006/relationships/hyperlink" Target="https://www.nullify.ai/" TargetMode="External"/><Relationship Id="rId75" Type="http://schemas.openxmlformats.org/officeDocument/2006/relationships/hyperlink" Target="https://gomboc.ai/" TargetMode="External"/><Relationship Id="rId76" Type="http://schemas.openxmlformats.org/officeDocument/2006/relationships/hyperlink" Target="https://appsecsanta.com/aspm-tools" TargetMode="External"/><Relationship Id="rId77" Type="http://schemas.openxmlformats.org/officeDocument/2006/relationships/hyperlink" Target="https://appsecsanta.com/aspm-tools" TargetMode="External"/><Relationship Id="rId78" Type="http://schemas.openxmlformats.org/officeDocument/2006/relationships/hyperlink" Target="https://www.endorlabs.com/" TargetMode="External"/><Relationship Id="rId79" Type="http://schemas.openxmlformats.org/officeDocument/2006/relationships/hyperlink" Target="https://www.globenewswire.com/news-release/2026/09/21/3365510/0/en/varonis-recognized-as-a-pace-setter-in-the-gartner-emerging-market-quadrant-for-ai-application-security-established-vendors.html" TargetMode="External"/><Relationship Id="rId80" Type="http://schemas.openxmlformats.org/officeDocument/2006/relationships/hyperlink" Target="https://www.pillar.security/blog/pillar-security-named-as-a-2026-gartner-r-cool-vendor-in-ai-software-security" TargetMode="External"/><Relationship Id="rId81" Type="http://schemas.openxmlformats.org/officeDocument/2006/relationships/hyperlink" Target="https://pulse2.com/pulse-security-raises-8-million-seed-funding-and-launches-ai-platform-for-cisos/" TargetMode="External"/><Relationship Id="rId82"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00"/>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24" hidden="false" customHeight="true" outlineLevel="0" collapsed="false">
      <c r="A4" s="3" t="s">
        <v>2</v>
      </c>
      <c r="B4" s="4" t="s">
        <v>3</v>
      </c>
    </row>
    <row r="5" customFormat="false" ht="24" hidden="false" customHeight="true" outlineLevel="0" collapsed="false">
      <c r="A5" s="3" t="s">
        <v>4</v>
      </c>
      <c r="B5" s="4" t="s">
        <v>5</v>
      </c>
    </row>
    <row r="6" customFormat="false" ht="36" hidden="false" customHeight="true" outlineLevel="0" collapsed="false">
      <c r="A6" s="3" t="s">
        <v>6</v>
      </c>
      <c r="B6" s="4" t="s">
        <v>7</v>
      </c>
    </row>
    <row r="7" customFormat="false" ht="24" hidden="false" customHeight="true" outlineLevel="0" collapsed="false">
      <c r="A7" s="3" t="s">
        <v>8</v>
      </c>
      <c r="B7" s="4" t="s">
        <v>9</v>
      </c>
    </row>
    <row r="8" customFormat="false" ht="36" hidden="false" customHeight="true" outlineLevel="0" collapsed="false">
      <c r="A8" s="3" t="s">
        <v>10</v>
      </c>
      <c r="B8" s="4" t="s">
        <v>11</v>
      </c>
    </row>
    <row r="9" customFormat="false" ht="15" hidden="false" customHeight="true" outlineLevel="0" collapsed="false">
      <c r="A9" s="3" t="s">
        <v>12</v>
      </c>
      <c r="B9" s="4" t="s">
        <v>13</v>
      </c>
    </row>
    <row r="10" customFormat="false" ht="24" hidden="false" customHeight="true" outlineLevel="0" collapsed="false">
      <c r="A10" s="3" t="s">
        <v>14</v>
      </c>
      <c r="B10" s="4" t="s">
        <v>15</v>
      </c>
    </row>
    <row r="11" customFormat="false" ht="24" hidden="false" customHeight="true" outlineLevel="0" collapsed="false">
      <c r="A11" s="3" t="s">
        <v>16</v>
      </c>
      <c r="B11" s="4" t="s">
        <v>17</v>
      </c>
    </row>
    <row r="12" customFormat="false" ht="15" hidden="false" customHeight="true" outlineLevel="0" collapsed="false">
      <c r="A12" s="3" t="s">
        <v>18</v>
      </c>
      <c r="B12" s="4" t="s">
        <v>19</v>
      </c>
    </row>
    <row r="13" customFormat="false" ht="36" hidden="false" customHeight="true" outlineLevel="0" collapsed="false">
      <c r="A13" s="3" t="s">
        <v>20</v>
      </c>
      <c r="B13" s="4" t="s">
        <v>21</v>
      </c>
    </row>
    <row r="14" customFormat="false" ht="24" hidden="false" customHeight="true" outlineLevel="0" collapsed="false">
      <c r="A14" s="3" t="s">
        <v>22</v>
      </c>
      <c r="B14" s="4" t="s">
        <v>23</v>
      </c>
    </row>
    <row r="16" customFormat="false" ht="15" hidden="false" customHeight="false" outlineLevel="0" collapsed="false">
      <c r="A16" s="5" t="s">
        <v>24</v>
      </c>
    </row>
    <row r="17" customFormat="false" ht="15" hidden="false" customHeight="false" outlineLevel="0" collapsed="false">
      <c r="A17" s="3" t="s">
        <v>25</v>
      </c>
      <c r="B17" s="6" t="s">
        <v>26</v>
      </c>
    </row>
    <row r="18" customFormat="false" ht="15" hidden="false" customHeight="false" outlineLevel="0" collapsed="false">
      <c r="A18" s="3" t="s">
        <v>14</v>
      </c>
      <c r="B18" s="6" t="s">
        <v>27</v>
      </c>
    </row>
    <row r="19" customFormat="false" ht="15" hidden="false" customHeight="false" outlineLevel="0" collapsed="false">
      <c r="A19" s="3" t="s">
        <v>28</v>
      </c>
      <c r="B19" s="6" t="s">
        <v>29</v>
      </c>
    </row>
    <row r="20" customFormat="false" ht="15" hidden="false" customHeight="false" outlineLevel="0" collapsed="false">
      <c r="A20" s="3" t="s">
        <v>30</v>
      </c>
      <c r="B20" s="6" t="s">
        <v>31</v>
      </c>
    </row>
    <row r="21" customFormat="false" ht="15" hidden="false" customHeight="false" outlineLevel="0" collapsed="false">
      <c r="A21" s="3" t="s">
        <v>32</v>
      </c>
      <c r="B21" s="6" t="s">
        <v>33</v>
      </c>
    </row>
    <row r="22" customFormat="false" ht="15" hidden="false" customHeight="false" outlineLevel="0" collapsed="false">
      <c r="A22" s="3" t="s">
        <v>34</v>
      </c>
      <c r="B22" s="6" t="s">
        <v>35</v>
      </c>
    </row>
    <row r="23" customFormat="false" ht="15" hidden="false" customHeight="false" outlineLevel="0" collapsed="false">
      <c r="A23" s="3" t="s">
        <v>36</v>
      </c>
      <c r="B23" s="6" t="s">
        <v>37</v>
      </c>
    </row>
    <row r="24" customFormat="false" ht="15" hidden="false" customHeight="false" outlineLevel="0" collapsed="false">
      <c r="A24" s="3" t="s">
        <v>38</v>
      </c>
      <c r="B24" s="6" t="s">
        <v>39</v>
      </c>
    </row>
    <row r="25" customFormat="false" ht="15" hidden="false" customHeight="false" outlineLevel="0" collapsed="false">
      <c r="A25" s="3" t="s">
        <v>40</v>
      </c>
      <c r="B25" s="6" t="s">
        <v>41</v>
      </c>
    </row>
    <row r="26" customFormat="false" ht="15" hidden="false" customHeight="false" outlineLevel="0" collapsed="false">
      <c r="A26" s="3" t="s">
        <v>42</v>
      </c>
      <c r="B26" s="6" t="s">
        <v>43</v>
      </c>
    </row>
    <row r="27" customFormat="false" ht="15" hidden="false" customHeight="false" outlineLevel="0" collapsed="false">
      <c r="A27" s="3" t="s">
        <v>44</v>
      </c>
      <c r="B27" s="6" t="s">
        <v>45</v>
      </c>
    </row>
    <row r="28" customFormat="false" ht="15" hidden="false" customHeight="false" outlineLevel="0" collapsed="false">
      <c r="A28" s="3" t="s">
        <v>46</v>
      </c>
      <c r="B28" s="6" t="s">
        <v>47</v>
      </c>
    </row>
    <row r="29" customFormat="false" ht="15" hidden="false" customHeight="false" outlineLevel="0" collapsed="false">
      <c r="A29" s="3" t="s">
        <v>48</v>
      </c>
      <c r="B29" s="6" t="s">
        <v>49</v>
      </c>
    </row>
    <row r="30" customFormat="false" ht="15" hidden="false" customHeight="false" outlineLevel="0" collapsed="false">
      <c r="A30" s="3" t="s">
        <v>50</v>
      </c>
      <c r="B30" s="6" t="s">
        <v>51</v>
      </c>
    </row>
    <row r="31" customFormat="false" ht="15" hidden="false" customHeight="false" outlineLevel="0" collapsed="false">
      <c r="A31" s="3" t="s">
        <v>52</v>
      </c>
      <c r="B31" s="6"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00"/>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34"/>
    <col collapsed="false" customWidth="true" hidden="false" outlineLevel="0" max="4" min="4" style="0" width="95"/>
    <col collapsed="false" customWidth="true" hidden="false" outlineLevel="0" max="5" min="5" style="0" width="55"/>
  </cols>
  <sheetData>
    <row r="1" customFormat="false" ht="19.7" hidden="false" customHeight="false" outlineLevel="0" collapsed="false">
      <c r="A1" s="1" t="s">
        <v>54</v>
      </c>
    </row>
    <row r="2" customFormat="false" ht="15" hidden="false" customHeight="false" outlineLevel="0" collapsed="false">
      <c r="A2" s="2" t="s">
        <v>55</v>
      </c>
    </row>
    <row r="4" customFormat="false" ht="15" hidden="false" customHeight="false" outlineLevel="0" collapsed="false">
      <c r="A4" s="5" t="s">
        <v>56</v>
      </c>
    </row>
    <row r="5" customFormat="false" ht="31.5" hidden="false" customHeight="true" outlineLevel="0" collapsed="false">
      <c r="A5" s="7" t="s">
        <v>57</v>
      </c>
      <c r="B5" s="7" t="s">
        <v>58</v>
      </c>
      <c r="C5" s="7" t="s">
        <v>59</v>
      </c>
      <c r="D5" s="7" t="s">
        <v>60</v>
      </c>
      <c r="E5" s="7" t="s">
        <v>61</v>
      </c>
      <c r="F5" s="7" t="s">
        <v>62</v>
      </c>
      <c r="G5" s="7" t="s">
        <v>63</v>
      </c>
      <c r="H5" s="7" t="s">
        <v>64</v>
      </c>
      <c r="I5" s="7" t="s">
        <v>65</v>
      </c>
    </row>
    <row r="6" customFormat="false" ht="15" hidden="false" customHeight="false" outlineLevel="0" collapsed="false">
      <c r="A6" s="8" t="s">
        <v>30</v>
      </c>
      <c r="B6" s="9" t="n">
        <v>33</v>
      </c>
      <c r="C6" s="9" t="n">
        <v>27</v>
      </c>
      <c r="D6" s="9" t="n">
        <v>0</v>
      </c>
      <c r="E6" s="9" t="n">
        <v>0</v>
      </c>
      <c r="F6" s="9" t="n">
        <v>6</v>
      </c>
      <c r="G6" s="9" t="n">
        <v>0</v>
      </c>
      <c r="H6" s="9" t="n">
        <v>8</v>
      </c>
      <c r="I6" s="9" t="n">
        <v>10</v>
      </c>
    </row>
    <row r="7" customFormat="false" ht="15" hidden="false" customHeight="false" outlineLevel="0" collapsed="false">
      <c r="A7" s="8" t="s">
        <v>32</v>
      </c>
      <c r="B7" s="9" t="n">
        <v>33</v>
      </c>
      <c r="C7" s="9" t="n">
        <v>26</v>
      </c>
      <c r="D7" s="9" t="n">
        <v>0</v>
      </c>
      <c r="E7" s="9" t="n">
        <v>2</v>
      </c>
      <c r="F7" s="9" t="n">
        <v>5</v>
      </c>
      <c r="G7" s="9" t="n">
        <v>0</v>
      </c>
      <c r="H7" s="9" t="n">
        <v>4</v>
      </c>
      <c r="I7" s="9" t="n">
        <v>8</v>
      </c>
    </row>
    <row r="8" customFormat="false" ht="15" hidden="false" customHeight="false" outlineLevel="0" collapsed="false">
      <c r="A8" s="8" t="s">
        <v>34</v>
      </c>
      <c r="B8" s="9" t="n">
        <v>25</v>
      </c>
      <c r="C8" s="9" t="n">
        <v>17</v>
      </c>
      <c r="D8" s="9" t="n">
        <v>0</v>
      </c>
      <c r="E8" s="9" t="n">
        <v>1</v>
      </c>
      <c r="F8" s="9" t="n">
        <v>7</v>
      </c>
      <c r="G8" s="9" t="n">
        <v>0</v>
      </c>
      <c r="H8" s="9" t="n">
        <v>2</v>
      </c>
      <c r="I8" s="9" t="n">
        <v>6</v>
      </c>
    </row>
    <row r="9" customFormat="false" ht="15" hidden="false" customHeight="false" outlineLevel="0" collapsed="false">
      <c r="A9" s="8" t="s">
        <v>36</v>
      </c>
      <c r="B9" s="9" t="n">
        <v>42</v>
      </c>
      <c r="C9" s="9" t="n">
        <v>26</v>
      </c>
      <c r="D9" s="9" t="n">
        <v>2</v>
      </c>
      <c r="E9" s="9" t="n">
        <v>4</v>
      </c>
      <c r="F9" s="9" t="n">
        <v>10</v>
      </c>
      <c r="G9" s="9" t="n">
        <v>0</v>
      </c>
      <c r="H9" s="9" t="n">
        <v>7</v>
      </c>
      <c r="I9" s="9" t="n">
        <v>14</v>
      </c>
    </row>
    <row r="10" customFormat="false" ht="15" hidden="false" customHeight="false" outlineLevel="0" collapsed="false">
      <c r="A10" s="8" t="s">
        <v>38</v>
      </c>
      <c r="B10" s="9" t="n">
        <v>37</v>
      </c>
      <c r="C10" s="9" t="n">
        <v>15</v>
      </c>
      <c r="D10" s="9" t="n">
        <v>4</v>
      </c>
      <c r="E10" s="9" t="n">
        <v>2</v>
      </c>
      <c r="F10" s="9" t="n">
        <v>16</v>
      </c>
      <c r="G10" s="9" t="n">
        <v>0</v>
      </c>
      <c r="H10" s="9" t="n">
        <v>9</v>
      </c>
      <c r="I10" s="9" t="n">
        <v>23</v>
      </c>
    </row>
    <row r="11" customFormat="false" ht="15" hidden="false" customHeight="false" outlineLevel="0" collapsed="false">
      <c r="A11" s="8" t="s">
        <v>40</v>
      </c>
      <c r="B11" s="9" t="n">
        <v>28</v>
      </c>
      <c r="C11" s="9" t="n">
        <v>13</v>
      </c>
      <c r="D11" s="9" t="n">
        <v>3</v>
      </c>
      <c r="E11" s="9" t="n">
        <v>4</v>
      </c>
      <c r="F11" s="9" t="n">
        <v>8</v>
      </c>
      <c r="G11" s="9" t="n">
        <v>0</v>
      </c>
      <c r="H11" s="9" t="n">
        <v>3</v>
      </c>
      <c r="I11" s="9" t="n">
        <v>9</v>
      </c>
    </row>
    <row r="12" customFormat="false" ht="15" hidden="false" customHeight="false" outlineLevel="0" collapsed="false">
      <c r="A12" s="8" t="s">
        <v>42</v>
      </c>
      <c r="B12" s="9" t="n">
        <v>43</v>
      </c>
      <c r="C12" s="9" t="n">
        <v>36</v>
      </c>
      <c r="D12" s="9" t="n">
        <v>2</v>
      </c>
      <c r="E12" s="9" t="n">
        <v>4</v>
      </c>
      <c r="F12" s="9" t="n">
        <v>1</v>
      </c>
      <c r="G12" s="9" t="n">
        <v>0</v>
      </c>
      <c r="H12" s="9" t="n">
        <v>8</v>
      </c>
      <c r="I12" s="9" t="n">
        <v>5</v>
      </c>
    </row>
    <row r="13" customFormat="false" ht="15" hidden="false" customHeight="false" outlineLevel="0" collapsed="false">
      <c r="A13" s="3" t="s">
        <v>66</v>
      </c>
      <c r="B13" s="10" t="n">
        <f aca="false">SUM(B6:B12)</f>
        <v>241</v>
      </c>
      <c r="C13" s="10" t="n">
        <f aca="false">SUM(C6:C12)</f>
        <v>160</v>
      </c>
      <c r="D13" s="10" t="n">
        <f aca="false">SUM(D6:D12)</f>
        <v>11</v>
      </c>
      <c r="E13" s="10" t="n">
        <f aca="false">SUM(E6:E12)</f>
        <v>17</v>
      </c>
      <c r="F13" s="10" t="n">
        <f aca="false">SUM(F6:F12)</f>
        <v>53</v>
      </c>
      <c r="G13" s="10" t="n">
        <f aca="false">SUM(G6:G12)</f>
        <v>0</v>
      </c>
      <c r="H13" s="10" t="n">
        <f aca="false">SUM(H6:H12)</f>
        <v>41</v>
      </c>
      <c r="I13" s="10" t="n">
        <f aca="false">SUM(I6:I12)</f>
        <v>75</v>
      </c>
    </row>
    <row r="15" customFormat="false" ht="15" hidden="false" customHeight="false" outlineLevel="0" collapsed="false">
      <c r="A15" s="5" t="s">
        <v>67</v>
      </c>
    </row>
    <row r="16" customFormat="false" ht="31.5" hidden="false" customHeight="true" outlineLevel="0" collapsed="false">
      <c r="A16" s="7" t="s">
        <v>57</v>
      </c>
      <c r="B16" s="7" t="s">
        <v>68</v>
      </c>
      <c r="C16" s="7" t="s">
        <v>69</v>
      </c>
      <c r="D16" s="7" t="s">
        <v>70</v>
      </c>
      <c r="E16" s="7" t="s">
        <v>71</v>
      </c>
    </row>
    <row r="17" customFormat="false" ht="51" hidden="false" customHeight="true" outlineLevel="0" collapsed="false">
      <c r="A17" s="8" t="s">
        <v>30</v>
      </c>
      <c r="B17" s="9" t="n">
        <v>1</v>
      </c>
      <c r="C17" s="8" t="s">
        <v>72</v>
      </c>
      <c r="D17" s="11" t="s">
        <v>73</v>
      </c>
      <c r="E17" s="11" t="s">
        <v>74</v>
      </c>
    </row>
    <row r="18" customFormat="false" ht="51" hidden="false" customHeight="true" outlineLevel="0" collapsed="false">
      <c r="A18" s="8"/>
      <c r="B18" s="9" t="n">
        <v>2</v>
      </c>
      <c r="C18" s="8" t="s">
        <v>75</v>
      </c>
      <c r="D18" s="11" t="s">
        <v>76</v>
      </c>
      <c r="E18" s="11"/>
    </row>
    <row r="19" customFormat="false" ht="51" hidden="false" customHeight="true" outlineLevel="0" collapsed="false">
      <c r="A19" s="8"/>
      <c r="B19" s="9" t="n">
        <v>3</v>
      </c>
      <c r="C19" s="8" t="s">
        <v>77</v>
      </c>
      <c r="D19" s="11" t="s">
        <v>78</v>
      </c>
      <c r="E19" s="11"/>
    </row>
    <row r="20" customFormat="false" ht="51" hidden="false" customHeight="true" outlineLevel="0" collapsed="false">
      <c r="A20" s="8"/>
      <c r="B20" s="9"/>
      <c r="C20" s="8" t="s">
        <v>79</v>
      </c>
      <c r="D20" s="11" t="s">
        <v>80</v>
      </c>
      <c r="E20" s="11"/>
    </row>
    <row r="21" customFormat="false" ht="48.75" hidden="false" customHeight="true" outlineLevel="0" collapsed="false">
      <c r="A21" s="8" t="s">
        <v>32</v>
      </c>
      <c r="B21" s="9" t="n">
        <v>1</v>
      </c>
      <c r="C21" s="8" t="s">
        <v>81</v>
      </c>
      <c r="D21" s="11" t="s">
        <v>82</v>
      </c>
      <c r="E21" s="11" t="s">
        <v>83</v>
      </c>
    </row>
    <row r="22" customFormat="false" ht="40.5" hidden="false" customHeight="true" outlineLevel="0" collapsed="false">
      <c r="A22" s="8"/>
      <c r="B22" s="9" t="n">
        <v>2</v>
      </c>
      <c r="C22" s="8" t="s">
        <v>84</v>
      </c>
      <c r="D22" s="11" t="s">
        <v>85</v>
      </c>
      <c r="E22" s="11"/>
    </row>
    <row r="23" customFormat="false" ht="40.5" hidden="false" customHeight="true" outlineLevel="0" collapsed="false">
      <c r="A23" s="8"/>
      <c r="B23" s="9" t="n">
        <v>3</v>
      </c>
      <c r="C23" s="8" t="s">
        <v>86</v>
      </c>
      <c r="D23" s="11" t="s">
        <v>87</v>
      </c>
      <c r="E23" s="11"/>
    </row>
    <row r="24" customFormat="false" ht="40.5" hidden="false" customHeight="true" outlineLevel="0" collapsed="false">
      <c r="A24" s="8"/>
      <c r="B24" s="9"/>
      <c r="C24" s="8" t="s">
        <v>79</v>
      </c>
      <c r="D24" s="11" t="s">
        <v>88</v>
      </c>
      <c r="E24" s="11"/>
    </row>
    <row r="25" customFormat="false" ht="36" hidden="false" customHeight="true" outlineLevel="0" collapsed="false">
      <c r="A25" s="8" t="s">
        <v>34</v>
      </c>
      <c r="B25" s="9" t="n">
        <v>1</v>
      </c>
      <c r="C25" s="8" t="s">
        <v>89</v>
      </c>
      <c r="D25" s="11" t="s">
        <v>90</v>
      </c>
      <c r="E25" s="11" t="s">
        <v>91</v>
      </c>
    </row>
    <row r="26" customFormat="false" ht="36" hidden="false" customHeight="true" outlineLevel="0" collapsed="false">
      <c r="A26" s="8"/>
      <c r="B26" s="9" t="n">
        <v>2</v>
      </c>
      <c r="C26" s="8" t="s">
        <v>92</v>
      </c>
      <c r="D26" s="11" t="s">
        <v>93</v>
      </c>
      <c r="E26" s="11"/>
    </row>
    <row r="27" customFormat="false" ht="36" hidden="false" customHeight="true" outlineLevel="0" collapsed="false">
      <c r="A27" s="8"/>
      <c r="B27" s="9" t="n">
        <v>3</v>
      </c>
      <c r="C27" s="8" t="s">
        <v>94</v>
      </c>
      <c r="D27" s="11" t="s">
        <v>95</v>
      </c>
      <c r="E27" s="11"/>
    </row>
    <row r="28" customFormat="false" ht="36" hidden="false" customHeight="true" outlineLevel="0" collapsed="false">
      <c r="A28" s="8" t="s">
        <v>36</v>
      </c>
      <c r="B28" s="9" t="n">
        <v>1</v>
      </c>
      <c r="C28" s="8" t="s">
        <v>96</v>
      </c>
      <c r="D28" s="11" t="s">
        <v>97</v>
      </c>
      <c r="E28" s="11" t="s">
        <v>98</v>
      </c>
    </row>
    <row r="29" customFormat="false" ht="24" hidden="false" customHeight="true" outlineLevel="0" collapsed="false">
      <c r="A29" s="8"/>
      <c r="B29" s="9" t="n">
        <v>2</v>
      </c>
      <c r="C29" s="8" t="s">
        <v>99</v>
      </c>
      <c r="D29" s="11" t="s">
        <v>100</v>
      </c>
      <c r="E29" s="11"/>
    </row>
    <row r="30" customFormat="false" ht="24" hidden="false" customHeight="true" outlineLevel="0" collapsed="false">
      <c r="A30" s="8"/>
      <c r="B30" s="9" t="n">
        <v>3</v>
      </c>
      <c r="C30" s="8" t="s">
        <v>101</v>
      </c>
      <c r="D30" s="11" t="s">
        <v>102</v>
      </c>
      <c r="E30" s="11"/>
    </row>
    <row r="31" customFormat="false" ht="24" hidden="false" customHeight="true" outlineLevel="0" collapsed="false">
      <c r="A31" s="8"/>
      <c r="B31" s="9" t="n">
        <v>1</v>
      </c>
      <c r="C31" s="8" t="s">
        <v>103</v>
      </c>
      <c r="D31" s="11" t="s">
        <v>104</v>
      </c>
      <c r="E31" s="11"/>
    </row>
    <row r="32" customFormat="false" ht="24" hidden="false" customHeight="true" outlineLevel="0" collapsed="false">
      <c r="A32" s="8"/>
      <c r="B32" s="9" t="n">
        <v>2</v>
      </c>
      <c r="C32" s="8" t="s">
        <v>105</v>
      </c>
      <c r="D32" s="11" t="s">
        <v>106</v>
      </c>
      <c r="E32" s="11"/>
    </row>
    <row r="33" customFormat="false" ht="36" hidden="false" customHeight="true" outlineLevel="0" collapsed="false">
      <c r="A33" s="8"/>
      <c r="B33" s="9" t="n">
        <v>3</v>
      </c>
      <c r="C33" s="8" t="s">
        <v>107</v>
      </c>
      <c r="D33" s="11" t="s">
        <v>108</v>
      </c>
      <c r="E33" s="11"/>
    </row>
    <row r="34" customFormat="false" ht="27" hidden="false" customHeight="true" outlineLevel="0" collapsed="false">
      <c r="A34" s="8" t="s">
        <v>38</v>
      </c>
      <c r="B34" s="9" t="n">
        <v>1</v>
      </c>
      <c r="C34" s="8" t="s">
        <v>109</v>
      </c>
      <c r="D34" s="11" t="s">
        <v>110</v>
      </c>
      <c r="E34" s="11" t="s">
        <v>111</v>
      </c>
    </row>
    <row r="35" customFormat="false" ht="27" hidden="false" customHeight="true" outlineLevel="0" collapsed="false">
      <c r="A35" s="8"/>
      <c r="B35" s="9" t="n">
        <v>2</v>
      </c>
      <c r="C35" s="8" t="s">
        <v>112</v>
      </c>
      <c r="D35" s="11" t="s">
        <v>113</v>
      </c>
      <c r="E35" s="11"/>
    </row>
    <row r="36" customFormat="false" ht="27" hidden="false" customHeight="true" outlineLevel="0" collapsed="false">
      <c r="A36" s="8"/>
      <c r="B36" s="9" t="n">
        <v>3</v>
      </c>
      <c r="C36" s="8" t="s">
        <v>114</v>
      </c>
      <c r="D36" s="11" t="s">
        <v>115</v>
      </c>
      <c r="E36" s="11"/>
    </row>
    <row r="37" customFormat="false" ht="36" hidden="false" customHeight="true" outlineLevel="0" collapsed="false">
      <c r="A37" s="8" t="s">
        <v>40</v>
      </c>
      <c r="B37" s="9" t="n">
        <v>1</v>
      </c>
      <c r="C37" s="8" t="s">
        <v>116</v>
      </c>
      <c r="D37" s="11" t="s">
        <v>117</v>
      </c>
      <c r="E37" s="11" t="s">
        <v>118</v>
      </c>
    </row>
    <row r="38" customFormat="false" ht="27" hidden="false" customHeight="true" outlineLevel="0" collapsed="false">
      <c r="A38" s="8"/>
      <c r="B38" s="9" t="n">
        <v>2</v>
      </c>
      <c r="C38" s="8" t="s">
        <v>119</v>
      </c>
      <c r="D38" s="11" t="s">
        <v>120</v>
      </c>
      <c r="E38" s="11"/>
    </row>
    <row r="39" customFormat="false" ht="27" hidden="false" customHeight="true" outlineLevel="0" collapsed="false">
      <c r="A39" s="8"/>
      <c r="B39" s="9" t="n">
        <v>3</v>
      </c>
      <c r="C39" s="8" t="s">
        <v>121</v>
      </c>
      <c r="D39" s="11" t="s">
        <v>122</v>
      </c>
      <c r="E39" s="11"/>
    </row>
    <row r="40" customFormat="false" ht="48.75" hidden="false" customHeight="true" outlineLevel="0" collapsed="false">
      <c r="A40" s="8" t="s">
        <v>42</v>
      </c>
      <c r="B40" s="9" t="n">
        <v>1</v>
      </c>
      <c r="C40" s="8" t="s">
        <v>72</v>
      </c>
      <c r="D40" s="11" t="s">
        <v>123</v>
      </c>
      <c r="E40" s="11" t="s">
        <v>124</v>
      </c>
    </row>
    <row r="41" customFormat="false" ht="48.75" hidden="false" customHeight="true" outlineLevel="0" collapsed="false">
      <c r="A41" s="8"/>
      <c r="B41" s="9" t="n">
        <v>2</v>
      </c>
      <c r="C41" s="8" t="s">
        <v>125</v>
      </c>
      <c r="D41" s="11" t="s">
        <v>126</v>
      </c>
      <c r="E41" s="11"/>
    </row>
    <row r="42" customFormat="false" ht="60.75" hidden="false" customHeight="true" outlineLevel="0" collapsed="false">
      <c r="A42" s="8"/>
      <c r="B42" s="9" t="n">
        <v>3</v>
      </c>
      <c r="C42" s="8" t="s">
        <v>127</v>
      </c>
      <c r="D42" s="11" t="s">
        <v>128</v>
      </c>
      <c r="E42" s="11"/>
    </row>
    <row r="44" customFormat="false" ht="15" hidden="false" customHeight="false" outlineLevel="0" collapsed="false">
      <c r="A44" s="5" t="s">
        <v>129</v>
      </c>
    </row>
    <row r="45" customFormat="false" ht="24" hidden="false" customHeight="true" outlineLevel="0" collapsed="false">
      <c r="A45" s="3" t="s">
        <v>130</v>
      </c>
      <c r="B45" s="12" t="s">
        <v>131</v>
      </c>
      <c r="C45" s="12"/>
      <c r="D45" s="12"/>
      <c r="E45" s="12"/>
    </row>
    <row r="46" customFormat="false" ht="48.75" hidden="false" customHeight="true" outlineLevel="0" collapsed="false">
      <c r="A46" s="3" t="s">
        <v>132</v>
      </c>
      <c r="B46" s="12" t="s">
        <v>133</v>
      </c>
      <c r="C46" s="12"/>
      <c r="D46" s="12"/>
      <c r="E46" s="12"/>
    </row>
    <row r="47" customFormat="false" ht="72.75" hidden="false" customHeight="true" outlineLevel="0" collapsed="false">
      <c r="A47" s="3" t="s">
        <v>134</v>
      </c>
      <c r="B47" s="12" t="s">
        <v>135</v>
      </c>
      <c r="C47" s="12"/>
      <c r="D47" s="12"/>
      <c r="E47" s="12"/>
    </row>
    <row r="48" customFormat="false" ht="36" hidden="false" customHeight="true" outlineLevel="0" collapsed="false">
      <c r="A48" s="3" t="s">
        <v>136</v>
      </c>
      <c r="B48" s="12" t="s">
        <v>137</v>
      </c>
      <c r="C48" s="12"/>
      <c r="D48" s="12"/>
      <c r="E48" s="12"/>
    </row>
    <row r="50" customFormat="false" ht="15" hidden="false" customHeight="false" outlineLevel="0" collapsed="false">
      <c r="A50" s="5" t="s">
        <v>138</v>
      </c>
    </row>
    <row r="51" customFormat="false" ht="24" hidden="false" customHeight="true" outlineLevel="0" collapsed="false">
      <c r="A51" s="3" t="s">
        <v>139</v>
      </c>
      <c r="B51" s="12" t="s">
        <v>140</v>
      </c>
      <c r="C51" s="12"/>
      <c r="D51" s="12"/>
      <c r="E51" s="12"/>
    </row>
    <row r="52" customFormat="false" ht="36" hidden="false" customHeight="true" outlineLevel="0" collapsed="false">
      <c r="A52" s="3" t="s">
        <v>141</v>
      </c>
      <c r="B52" s="12" t="s">
        <v>142</v>
      </c>
      <c r="C52" s="12"/>
      <c r="D52" s="12"/>
      <c r="E52" s="12"/>
    </row>
    <row r="53" customFormat="false" ht="24" hidden="false" customHeight="true" outlineLevel="0" collapsed="false">
      <c r="A53" s="3" t="s">
        <v>143</v>
      </c>
      <c r="B53" s="12" t="s">
        <v>144</v>
      </c>
      <c r="C53" s="12"/>
      <c r="D53" s="12"/>
      <c r="E53" s="12"/>
    </row>
    <row r="54" customFormat="false" ht="24" hidden="false" customHeight="true" outlineLevel="0" collapsed="false">
      <c r="A54" s="3" t="s">
        <v>145</v>
      </c>
      <c r="B54" s="12" t="s">
        <v>146</v>
      </c>
      <c r="C54" s="12"/>
      <c r="D54" s="12"/>
      <c r="E54" s="12"/>
    </row>
    <row r="55" customFormat="false" ht="24" hidden="false" customHeight="true" outlineLevel="0" collapsed="false">
      <c r="A55" s="3" t="s">
        <v>147</v>
      </c>
      <c r="B55" s="12" t="s">
        <v>148</v>
      </c>
      <c r="C55" s="12"/>
      <c r="D55" s="12"/>
      <c r="E55" s="12"/>
    </row>
  </sheetData>
  <mergeCells count="23">
    <mergeCell ref="A17:A20"/>
    <mergeCell ref="E17:E20"/>
    <mergeCell ref="A21:A24"/>
    <mergeCell ref="E21:E24"/>
    <mergeCell ref="A25:A27"/>
    <mergeCell ref="E25:E27"/>
    <mergeCell ref="A28:A33"/>
    <mergeCell ref="E28:E33"/>
    <mergeCell ref="A34:A36"/>
    <mergeCell ref="E34:E36"/>
    <mergeCell ref="A37:A39"/>
    <mergeCell ref="E37:E39"/>
    <mergeCell ref="A40:A42"/>
    <mergeCell ref="E40:E42"/>
    <mergeCell ref="B45:E45"/>
    <mergeCell ref="B46:E46"/>
    <mergeCell ref="B47:E47"/>
    <mergeCell ref="B48:E48"/>
    <mergeCell ref="B51:E51"/>
    <mergeCell ref="B52:E52"/>
    <mergeCell ref="B53:E53"/>
    <mergeCell ref="B54:E54"/>
    <mergeCell ref="B55:E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00"/>
    <pageSetUpPr fitToPage="false"/>
  </sheetPr>
  <dimension ref="A1:M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8"/>
    <col collapsed="false" customWidth="true" hidden="false" outlineLevel="0" max="4" min="4" style="0" width="12"/>
    <col collapsed="false" customWidth="true" hidden="false" outlineLevel="0" max="5" min="5" style="0" width="22"/>
    <col collapsed="false" customWidth="true" hidden="false" outlineLevel="0" max="10" min="6" style="0" width="10"/>
    <col collapsed="false" customWidth="true" hidden="false" outlineLevel="0" max="12" min="11" style="0" width="12"/>
    <col collapsed="false" customWidth="true" hidden="false" outlineLevel="0" max="13" min="13" style="0" width="10"/>
  </cols>
  <sheetData>
    <row r="1" customFormat="false" ht="19.7" hidden="false" customHeight="false" outlineLevel="0" collapsed="false">
      <c r="A1" s="1" t="s">
        <v>149</v>
      </c>
    </row>
    <row r="2" customFormat="false" ht="15" hidden="false" customHeight="false" outlineLevel="0" collapsed="false">
      <c r="A2" s="2" t="s">
        <v>150</v>
      </c>
    </row>
    <row r="4" customFormat="false" ht="15" hidden="false" customHeight="false" outlineLevel="0" collapsed="false">
      <c r="A4" s="5" t="s">
        <v>151</v>
      </c>
    </row>
    <row r="5" customFormat="false" ht="31.5" hidden="false" customHeight="true" outlineLevel="0" collapsed="false">
      <c r="A5" s="7" t="s">
        <v>152</v>
      </c>
      <c r="B5" s="7" t="s">
        <v>153</v>
      </c>
      <c r="C5" s="7" t="s">
        <v>154</v>
      </c>
    </row>
    <row r="6" customFormat="false" ht="27.75" hidden="false" customHeight="true" outlineLevel="0" collapsed="false">
      <c r="A6" s="3" t="s">
        <v>155</v>
      </c>
      <c r="B6" s="13" t="n">
        <v>0.3</v>
      </c>
      <c r="C6" s="4" t="s">
        <v>156</v>
      </c>
    </row>
    <row r="7" customFormat="false" ht="27.75" hidden="false" customHeight="true" outlineLevel="0" collapsed="false">
      <c r="A7" s="3" t="s">
        <v>157</v>
      </c>
      <c r="B7" s="13" t="n">
        <v>0.2</v>
      </c>
      <c r="C7" s="4" t="s">
        <v>158</v>
      </c>
    </row>
    <row r="8" customFormat="false" ht="27.75" hidden="false" customHeight="true" outlineLevel="0" collapsed="false">
      <c r="A8" s="3" t="s">
        <v>159</v>
      </c>
      <c r="B8" s="13" t="n">
        <v>0.2</v>
      </c>
      <c r="C8" s="4" t="s">
        <v>160</v>
      </c>
    </row>
    <row r="9" customFormat="false" ht="27.75" hidden="false" customHeight="true" outlineLevel="0" collapsed="false">
      <c r="A9" s="3" t="s">
        <v>161</v>
      </c>
      <c r="B9" s="13" t="n">
        <v>0.15</v>
      </c>
      <c r="C9" s="4" t="s">
        <v>162</v>
      </c>
    </row>
    <row r="10" customFormat="false" ht="27.75" hidden="false" customHeight="true" outlineLevel="0" collapsed="false">
      <c r="A10" s="3" t="s">
        <v>163</v>
      </c>
      <c r="B10" s="13" t="n">
        <v>0.15</v>
      </c>
      <c r="C10" s="4" t="s">
        <v>164</v>
      </c>
    </row>
    <row r="11" customFormat="false" ht="15" hidden="false" customHeight="false" outlineLevel="0" collapsed="false">
      <c r="A11" s="3" t="s">
        <v>66</v>
      </c>
      <c r="B11" s="14" t="n">
        <f aca="false">SUM(B6:B10)</f>
        <v>1</v>
      </c>
    </row>
    <row r="12" customFormat="false" ht="39.75" hidden="false" customHeight="true" outlineLevel="0" collapsed="false">
      <c r="A12" s="3" t="s">
        <v>165</v>
      </c>
      <c r="C12" s="4" t="s">
        <v>166</v>
      </c>
    </row>
    <row r="14" customFormat="false" ht="31.5" hidden="false" customHeight="true" outlineLevel="0" collapsed="false">
      <c r="A14" s="7" t="s">
        <v>57</v>
      </c>
      <c r="B14" s="7" t="s">
        <v>69</v>
      </c>
      <c r="C14" s="7" t="s">
        <v>167</v>
      </c>
      <c r="D14" s="7" t="s">
        <v>168</v>
      </c>
      <c r="E14" s="7" t="s">
        <v>169</v>
      </c>
      <c r="F14" s="7" t="s">
        <v>170</v>
      </c>
      <c r="G14" s="7" t="s">
        <v>171</v>
      </c>
      <c r="H14" s="7" t="s">
        <v>172</v>
      </c>
      <c r="I14" s="7" t="s">
        <v>173</v>
      </c>
      <c r="J14" s="7" t="s">
        <v>174</v>
      </c>
      <c r="K14" s="7" t="s">
        <v>175</v>
      </c>
      <c r="L14" s="7" t="s">
        <v>176</v>
      </c>
      <c r="M14" s="7" t="s">
        <v>177</v>
      </c>
    </row>
    <row r="15" customFormat="false" ht="64.15" hidden="false" customHeight="false" outlineLevel="0" collapsed="false">
      <c r="A15" s="11" t="s">
        <v>30</v>
      </c>
      <c r="B15" s="8" t="s">
        <v>178</v>
      </c>
      <c r="C15" s="11" t="s">
        <v>179</v>
      </c>
      <c r="D15" s="11" t="s">
        <v>180</v>
      </c>
      <c r="E15" s="11" t="s">
        <v>181</v>
      </c>
      <c r="F15" s="9" t="n">
        <v>5</v>
      </c>
      <c r="G15" s="9" t="n">
        <v>4</v>
      </c>
      <c r="H15" s="9" t="n">
        <v>1</v>
      </c>
      <c r="I15" s="9" t="n">
        <v>5</v>
      </c>
      <c r="J15" s="9" t="n">
        <v>2</v>
      </c>
      <c r="K15" s="15" t="n">
        <v>0</v>
      </c>
      <c r="L15" s="16" t="n">
        <f aca="false">ROUND(SUMPRODUCT(F15:J15,TRANSPOSE($B$6:$B$10))/$B$11+K15,2)</f>
        <v>3.55</v>
      </c>
      <c r="M15" s="9" t="n">
        <f aca="false">COUNTIFS($A$15:$A$255,A15,$L$15:$L$255,"&gt;"&amp;L15)+1</f>
        <v>10</v>
      </c>
    </row>
    <row r="16" customFormat="false" ht="15" hidden="false" customHeight="false" outlineLevel="0" collapsed="false">
      <c r="A16" s="11" t="s">
        <v>30</v>
      </c>
      <c r="B16" s="8" t="s">
        <v>182</v>
      </c>
      <c r="C16" s="11" t="s">
        <v>182</v>
      </c>
      <c r="D16" s="11" t="s">
        <v>183</v>
      </c>
      <c r="E16" s="11" t="s">
        <v>181</v>
      </c>
      <c r="F16" s="9" t="n">
        <v>5</v>
      </c>
      <c r="G16" s="9" t="n">
        <v>4</v>
      </c>
      <c r="H16" s="9" t="n">
        <v>1</v>
      </c>
      <c r="I16" s="9" t="n">
        <v>1</v>
      </c>
      <c r="J16" s="9" t="n">
        <v>1</v>
      </c>
      <c r="K16" s="15" t="n">
        <v>0</v>
      </c>
      <c r="L16" s="16" t="n">
        <f aca="false">ROUND(SUMPRODUCT(F16:J16,TRANSPOSE($B$6:$B$10))/$B$11+K16,2)</f>
        <v>2.8</v>
      </c>
      <c r="M16" s="9" t="n">
        <f aca="false">COUNTIFS($A$15:$A$255,A16,$L$15:$L$255,"&gt;"&amp;L16)+1</f>
        <v>27</v>
      </c>
    </row>
    <row r="17" customFormat="false" ht="22.35" hidden="false" customHeight="false" outlineLevel="0" collapsed="false">
      <c r="A17" s="11" t="s">
        <v>30</v>
      </c>
      <c r="B17" s="8" t="s">
        <v>184</v>
      </c>
      <c r="C17" s="11" t="s">
        <v>185</v>
      </c>
      <c r="D17" s="11" t="s">
        <v>183</v>
      </c>
      <c r="E17" s="11" t="s">
        <v>181</v>
      </c>
      <c r="F17" s="9" t="n">
        <v>5</v>
      </c>
      <c r="G17" s="9" t="n">
        <v>2</v>
      </c>
      <c r="H17" s="9" t="n">
        <v>1</v>
      </c>
      <c r="I17" s="9" t="n">
        <v>1</v>
      </c>
      <c r="J17" s="9" t="n">
        <v>1</v>
      </c>
      <c r="K17" s="15" t="n">
        <v>0</v>
      </c>
      <c r="L17" s="16" t="n">
        <f aca="false">ROUND(SUMPRODUCT(F17:J17,TRANSPOSE($B$6:$B$10))/$B$11+K17,2)</f>
        <v>2.4</v>
      </c>
      <c r="M17" s="9" t="n">
        <f aca="false">COUNTIFS($A$15:$A$255,A17,$L$15:$L$255,"&gt;"&amp;L17)+1</f>
        <v>30</v>
      </c>
    </row>
    <row r="18" customFormat="false" ht="74.6" hidden="false" customHeight="false" outlineLevel="0" collapsed="false">
      <c r="A18" s="11" t="s">
        <v>30</v>
      </c>
      <c r="B18" s="8" t="s">
        <v>186</v>
      </c>
      <c r="C18" s="11" t="s">
        <v>187</v>
      </c>
      <c r="D18" s="11" t="s">
        <v>183</v>
      </c>
      <c r="E18" s="11" t="s">
        <v>181</v>
      </c>
      <c r="F18" s="9" t="n">
        <v>5</v>
      </c>
      <c r="G18" s="9" t="n">
        <v>5</v>
      </c>
      <c r="H18" s="9" t="n">
        <v>5</v>
      </c>
      <c r="I18" s="9" t="n">
        <v>2</v>
      </c>
      <c r="J18" s="9" t="n">
        <v>1</v>
      </c>
      <c r="K18" s="15" t="n">
        <v>0</v>
      </c>
      <c r="L18" s="16" t="n">
        <f aca="false">ROUND(SUMPRODUCT(F18:J18,TRANSPOSE($B$6:$B$10))/$B$11+K18,2)</f>
        <v>3.95</v>
      </c>
      <c r="M18" s="9" t="n">
        <f aca="false">COUNTIFS($A$15:$A$255,A18,$L$15:$L$255,"&gt;"&amp;L18)+1</f>
        <v>4</v>
      </c>
    </row>
    <row r="19" customFormat="false" ht="22.35" hidden="false" customHeight="false" outlineLevel="0" collapsed="false">
      <c r="A19" s="11" t="s">
        <v>30</v>
      </c>
      <c r="B19" s="8" t="s">
        <v>188</v>
      </c>
      <c r="C19" s="11" t="s">
        <v>189</v>
      </c>
      <c r="D19" s="11" t="s">
        <v>183</v>
      </c>
      <c r="E19" s="11" t="s">
        <v>181</v>
      </c>
      <c r="F19" s="9" t="n">
        <v>5</v>
      </c>
      <c r="G19" s="9" t="n">
        <v>3</v>
      </c>
      <c r="H19" s="9" t="n">
        <v>5</v>
      </c>
      <c r="I19" s="9" t="n">
        <v>3</v>
      </c>
      <c r="J19" s="9" t="n">
        <v>1</v>
      </c>
      <c r="K19" s="15" t="n">
        <v>0</v>
      </c>
      <c r="L19" s="16" t="n">
        <f aca="false">ROUND(SUMPRODUCT(F19:J19,TRANSPOSE($B$6:$B$10))/$B$11+K19,2)</f>
        <v>3.7</v>
      </c>
      <c r="M19" s="9" t="n">
        <f aca="false">COUNTIFS($A$15:$A$255,A19,$L$15:$L$255,"&gt;"&amp;L19)+1</f>
        <v>9</v>
      </c>
    </row>
    <row r="20" customFormat="false" ht="22.35" hidden="false" customHeight="false" outlineLevel="0" collapsed="false">
      <c r="A20" s="11" t="s">
        <v>30</v>
      </c>
      <c r="B20" s="8" t="s">
        <v>190</v>
      </c>
      <c r="C20" s="11" t="s">
        <v>191</v>
      </c>
      <c r="D20" s="11" t="s">
        <v>183</v>
      </c>
      <c r="E20" s="11" t="s">
        <v>181</v>
      </c>
      <c r="F20" s="9" t="n">
        <v>5</v>
      </c>
      <c r="G20" s="9" t="n">
        <v>4</v>
      </c>
      <c r="H20" s="9" t="n">
        <v>1</v>
      </c>
      <c r="I20" s="9" t="n">
        <v>5</v>
      </c>
      <c r="J20" s="9" t="n">
        <v>1</v>
      </c>
      <c r="K20" s="15" t="n">
        <v>0</v>
      </c>
      <c r="L20" s="16" t="n">
        <f aca="false">ROUND(SUMPRODUCT(F20:J20,TRANSPOSE($B$6:$B$10))/$B$11+K20,2)</f>
        <v>3.4</v>
      </c>
      <c r="M20" s="9" t="n">
        <f aca="false">COUNTIFS($A$15:$A$255,A20,$L$15:$L$255,"&gt;"&amp;L20)+1</f>
        <v>13</v>
      </c>
    </row>
    <row r="21" customFormat="false" ht="32.8" hidden="false" customHeight="false" outlineLevel="0" collapsed="false">
      <c r="A21" s="11" t="s">
        <v>30</v>
      </c>
      <c r="B21" s="8" t="s">
        <v>192</v>
      </c>
      <c r="C21" s="11" t="s">
        <v>193</v>
      </c>
      <c r="D21" s="11" t="s">
        <v>183</v>
      </c>
      <c r="E21" s="11" t="s">
        <v>181</v>
      </c>
      <c r="F21" s="9" t="n">
        <v>5</v>
      </c>
      <c r="G21" s="9" t="n">
        <v>4</v>
      </c>
      <c r="H21" s="9" t="n">
        <v>4</v>
      </c>
      <c r="I21" s="9" t="n">
        <v>2</v>
      </c>
      <c r="J21" s="9" t="n">
        <v>1</v>
      </c>
      <c r="K21" s="15" t="n">
        <v>0</v>
      </c>
      <c r="L21" s="16" t="n">
        <f aca="false">ROUND(SUMPRODUCT(F21:J21,TRANSPOSE($B$6:$B$10))/$B$11+K21,2)</f>
        <v>3.55</v>
      </c>
      <c r="M21" s="9" t="n">
        <f aca="false">COUNTIFS($A$15:$A$255,A21,$L$15:$L$255,"&gt;"&amp;L21)+1</f>
        <v>10</v>
      </c>
    </row>
    <row r="22" customFormat="false" ht="15" hidden="false" customHeight="false" outlineLevel="0" collapsed="false">
      <c r="A22" s="11" t="s">
        <v>30</v>
      </c>
      <c r="B22" s="8" t="s">
        <v>194</v>
      </c>
      <c r="C22" s="11" t="s">
        <v>194</v>
      </c>
      <c r="D22" s="11" t="s">
        <v>183</v>
      </c>
      <c r="E22" s="11" t="s">
        <v>181</v>
      </c>
      <c r="F22" s="9" t="n">
        <v>5</v>
      </c>
      <c r="G22" s="9" t="n">
        <v>4</v>
      </c>
      <c r="H22" s="9" t="n">
        <v>1</v>
      </c>
      <c r="I22" s="9" t="n">
        <v>2</v>
      </c>
      <c r="J22" s="9" t="n">
        <v>1</v>
      </c>
      <c r="K22" s="15" t="n">
        <v>0</v>
      </c>
      <c r="L22" s="16" t="n">
        <f aca="false">ROUND(SUMPRODUCT(F22:J22,TRANSPOSE($B$6:$B$10))/$B$11+K22,2)</f>
        <v>2.95</v>
      </c>
      <c r="M22" s="9" t="n">
        <f aca="false">COUNTIFS($A$15:$A$255,A22,$L$15:$L$255,"&gt;"&amp;L22)+1</f>
        <v>24</v>
      </c>
    </row>
    <row r="23" customFormat="false" ht="22.35" hidden="false" customHeight="false" outlineLevel="0" collapsed="false">
      <c r="A23" s="11" t="s">
        <v>30</v>
      </c>
      <c r="B23" s="8" t="s">
        <v>195</v>
      </c>
      <c r="C23" s="11" t="s">
        <v>196</v>
      </c>
      <c r="D23" s="11" t="s">
        <v>183</v>
      </c>
      <c r="E23" s="11" t="s">
        <v>181</v>
      </c>
      <c r="F23" s="9" t="n">
        <v>5</v>
      </c>
      <c r="G23" s="9" t="n">
        <v>2</v>
      </c>
      <c r="H23" s="9" t="n">
        <v>1</v>
      </c>
      <c r="I23" s="9" t="n">
        <v>2</v>
      </c>
      <c r="J23" s="9" t="n">
        <v>1</v>
      </c>
      <c r="K23" s="15" t="n">
        <v>0</v>
      </c>
      <c r="L23" s="16" t="n">
        <f aca="false">ROUND(SUMPRODUCT(F23:J23,TRANSPOSE($B$6:$B$10))/$B$11+K23,2)</f>
        <v>2.55</v>
      </c>
      <c r="M23" s="9" t="n">
        <f aca="false">COUNTIFS($A$15:$A$255,A23,$L$15:$L$255,"&gt;"&amp;L23)+1</f>
        <v>28</v>
      </c>
    </row>
    <row r="24" customFormat="false" ht="15" hidden="false" customHeight="false" outlineLevel="0" collapsed="false">
      <c r="A24" s="11" t="s">
        <v>30</v>
      </c>
      <c r="B24" s="8" t="s">
        <v>197</v>
      </c>
      <c r="C24" s="11" t="s">
        <v>197</v>
      </c>
      <c r="D24" s="11" t="s">
        <v>183</v>
      </c>
      <c r="E24" s="11" t="s">
        <v>181</v>
      </c>
      <c r="F24" s="9" t="n">
        <v>5</v>
      </c>
      <c r="G24" s="9" t="n">
        <v>2</v>
      </c>
      <c r="H24" s="9" t="n">
        <v>1</v>
      </c>
      <c r="I24" s="9" t="n">
        <v>1</v>
      </c>
      <c r="J24" s="9" t="n">
        <v>1</v>
      </c>
      <c r="K24" s="15" t="n">
        <v>0</v>
      </c>
      <c r="L24" s="16" t="n">
        <f aca="false">ROUND(SUMPRODUCT(F24:J24,TRANSPOSE($B$6:$B$10))/$B$11+K24,2)</f>
        <v>2.4</v>
      </c>
      <c r="M24" s="9" t="n">
        <f aca="false">COUNTIFS($A$15:$A$255,A24,$L$15:$L$255,"&gt;"&amp;L24)+1</f>
        <v>30</v>
      </c>
    </row>
    <row r="25" customFormat="false" ht="64.15" hidden="false" customHeight="false" outlineLevel="0" collapsed="false">
      <c r="A25" s="11" t="s">
        <v>30</v>
      </c>
      <c r="B25" s="8" t="s">
        <v>198</v>
      </c>
      <c r="C25" s="11" t="s">
        <v>86</v>
      </c>
      <c r="D25" s="11" t="s">
        <v>199</v>
      </c>
      <c r="E25" s="11" t="s">
        <v>200</v>
      </c>
      <c r="F25" s="9" t="n">
        <v>5</v>
      </c>
      <c r="G25" s="9" t="n">
        <v>4</v>
      </c>
      <c r="H25" s="9" t="n">
        <v>1</v>
      </c>
      <c r="I25" s="9" t="n">
        <v>1</v>
      </c>
      <c r="J25" s="9" t="n">
        <v>2</v>
      </c>
      <c r="K25" s="15" t="n">
        <v>0</v>
      </c>
      <c r="L25" s="16" t="n">
        <f aca="false">ROUND(SUMPRODUCT(F25:J25,TRANSPOSE($B$6:$B$10))/$B$11+K25,2)</f>
        <v>2.95</v>
      </c>
      <c r="M25" s="9" t="n">
        <f aca="false">COUNTIFS($A$15:$A$255,A25,$L$15:$L$255,"&gt;"&amp;L25)+1</f>
        <v>24</v>
      </c>
    </row>
    <row r="26" customFormat="false" ht="64.15" hidden="false" customHeight="false" outlineLevel="0" collapsed="false">
      <c r="A26" s="11" t="s">
        <v>30</v>
      </c>
      <c r="B26" s="8" t="s">
        <v>201</v>
      </c>
      <c r="C26" s="11" t="s">
        <v>202</v>
      </c>
      <c r="D26" s="11" t="s">
        <v>203</v>
      </c>
      <c r="E26" s="11" t="s">
        <v>181</v>
      </c>
      <c r="F26" s="9" t="n">
        <v>5</v>
      </c>
      <c r="G26" s="9" t="n">
        <v>5</v>
      </c>
      <c r="H26" s="9" t="n">
        <v>2</v>
      </c>
      <c r="I26" s="9" t="n">
        <v>5</v>
      </c>
      <c r="J26" s="9" t="n">
        <v>2</v>
      </c>
      <c r="K26" s="15" t="n">
        <v>0</v>
      </c>
      <c r="L26" s="16" t="n">
        <f aca="false">ROUND(SUMPRODUCT(F26:J26,TRANSPOSE($B$6:$B$10))/$B$11+K26,2)</f>
        <v>3.95</v>
      </c>
      <c r="M26" s="9" t="n">
        <f aca="false">COUNTIFS($A$15:$A$255,A26,$L$15:$L$255,"&gt;"&amp;L26)+1</f>
        <v>4</v>
      </c>
    </row>
    <row r="27" customFormat="false" ht="32.8" hidden="false" customHeight="false" outlineLevel="0" collapsed="false">
      <c r="A27" s="11" t="s">
        <v>30</v>
      </c>
      <c r="B27" s="8" t="s">
        <v>204</v>
      </c>
      <c r="C27" s="11" t="s">
        <v>205</v>
      </c>
      <c r="D27" s="11" t="s">
        <v>206</v>
      </c>
      <c r="E27" s="11" t="s">
        <v>181</v>
      </c>
      <c r="F27" s="9" t="n">
        <v>5</v>
      </c>
      <c r="G27" s="9" t="n">
        <v>4</v>
      </c>
      <c r="H27" s="9" t="n">
        <v>1</v>
      </c>
      <c r="I27" s="9" t="n">
        <v>5</v>
      </c>
      <c r="J27" s="9" t="n">
        <v>2</v>
      </c>
      <c r="K27" s="15" t="n">
        <v>0</v>
      </c>
      <c r="L27" s="16" t="n">
        <f aca="false">ROUND(SUMPRODUCT(F27:J27,TRANSPOSE($B$6:$B$10))/$B$11+K27,2)</f>
        <v>3.55</v>
      </c>
      <c r="M27" s="9" t="n">
        <f aca="false">COUNTIFS($A$15:$A$255,A27,$L$15:$L$255,"&gt;"&amp;L27)+1</f>
        <v>10</v>
      </c>
    </row>
    <row r="28" customFormat="false" ht="32.8" hidden="false" customHeight="false" outlineLevel="0" collapsed="false">
      <c r="A28" s="11" t="s">
        <v>30</v>
      </c>
      <c r="B28" s="8" t="s">
        <v>207</v>
      </c>
      <c r="C28" s="11" t="s">
        <v>208</v>
      </c>
      <c r="D28" s="11" t="s">
        <v>209</v>
      </c>
      <c r="E28" s="11" t="s">
        <v>181</v>
      </c>
      <c r="F28" s="9" t="n">
        <v>5</v>
      </c>
      <c r="G28" s="9" t="n">
        <v>5</v>
      </c>
      <c r="H28" s="9" t="n">
        <v>5</v>
      </c>
      <c r="I28" s="9" t="n">
        <v>1</v>
      </c>
      <c r="J28" s="9" t="n">
        <v>2</v>
      </c>
      <c r="K28" s="15" t="n">
        <v>0</v>
      </c>
      <c r="L28" s="16" t="n">
        <f aca="false">ROUND(SUMPRODUCT(F28:J28,TRANSPOSE($B$6:$B$10))/$B$11+K28,2)</f>
        <v>3.95</v>
      </c>
      <c r="M28" s="9" t="n">
        <f aca="false">COUNTIFS($A$15:$A$255,A28,$L$15:$L$255,"&gt;"&amp;L28)+1</f>
        <v>4</v>
      </c>
    </row>
    <row r="29" customFormat="false" ht="22.35" hidden="false" customHeight="false" outlineLevel="0" collapsed="false">
      <c r="A29" s="11" t="s">
        <v>30</v>
      </c>
      <c r="B29" s="8" t="s">
        <v>210</v>
      </c>
      <c r="C29" s="11" t="s">
        <v>211</v>
      </c>
      <c r="D29" s="11" t="s">
        <v>212</v>
      </c>
      <c r="E29" s="11" t="s">
        <v>181</v>
      </c>
      <c r="F29" s="9" t="n">
        <v>5</v>
      </c>
      <c r="G29" s="9" t="n">
        <v>2</v>
      </c>
      <c r="H29" s="9" t="n">
        <v>1</v>
      </c>
      <c r="I29" s="9" t="n">
        <v>1</v>
      </c>
      <c r="J29" s="9" t="n">
        <v>2</v>
      </c>
      <c r="K29" s="15" t="n">
        <v>0</v>
      </c>
      <c r="L29" s="16" t="n">
        <f aca="false">ROUND(SUMPRODUCT(F29:J29,TRANSPOSE($B$6:$B$10))/$B$11+K29,2)</f>
        <v>2.55</v>
      </c>
      <c r="M29" s="9" t="n">
        <f aca="false">COUNTIFS($A$15:$A$255,A29,$L$15:$L$255,"&gt;"&amp;L29)+1</f>
        <v>28</v>
      </c>
    </row>
    <row r="30" customFormat="false" ht="22.35" hidden="false" customHeight="false" outlineLevel="0" collapsed="false">
      <c r="A30" s="11" t="s">
        <v>30</v>
      </c>
      <c r="B30" s="8" t="s">
        <v>213</v>
      </c>
      <c r="C30" s="11" t="s">
        <v>214</v>
      </c>
      <c r="D30" s="11" t="s">
        <v>183</v>
      </c>
      <c r="E30" s="11" t="s">
        <v>181</v>
      </c>
      <c r="F30" s="9" t="n">
        <v>5</v>
      </c>
      <c r="G30" s="9" t="n">
        <v>2</v>
      </c>
      <c r="H30" s="9" t="n">
        <v>1</v>
      </c>
      <c r="I30" s="9" t="n">
        <v>1</v>
      </c>
      <c r="J30" s="9" t="n">
        <v>1</v>
      </c>
      <c r="K30" s="15" t="n">
        <v>0</v>
      </c>
      <c r="L30" s="16" t="n">
        <f aca="false">ROUND(SUMPRODUCT(F30:J30,TRANSPOSE($B$6:$B$10))/$B$11+K30,2)</f>
        <v>2.4</v>
      </c>
      <c r="M30" s="9" t="n">
        <f aca="false">COUNTIFS($A$15:$A$255,A30,$L$15:$L$255,"&gt;"&amp;L30)+1</f>
        <v>30</v>
      </c>
    </row>
    <row r="31" customFormat="false" ht="32.8" hidden="false" customHeight="false" outlineLevel="0" collapsed="false">
      <c r="A31" s="11" t="s">
        <v>30</v>
      </c>
      <c r="B31" s="8" t="s">
        <v>215</v>
      </c>
      <c r="C31" s="11" t="s">
        <v>216</v>
      </c>
      <c r="D31" s="11" t="s">
        <v>217</v>
      </c>
      <c r="E31" s="11" t="s">
        <v>181</v>
      </c>
      <c r="F31" s="9" t="n">
        <v>5</v>
      </c>
      <c r="G31" s="9" t="n">
        <v>4</v>
      </c>
      <c r="H31" s="9" t="n">
        <v>1</v>
      </c>
      <c r="I31" s="9" t="n">
        <v>1</v>
      </c>
      <c r="J31" s="9" t="n">
        <v>2</v>
      </c>
      <c r="K31" s="15" t="n">
        <v>0</v>
      </c>
      <c r="L31" s="16" t="n">
        <f aca="false">ROUND(SUMPRODUCT(F31:J31,TRANSPOSE($B$6:$B$10))/$B$11+K31,2)</f>
        <v>2.95</v>
      </c>
      <c r="M31" s="9" t="n">
        <f aca="false">COUNTIFS($A$15:$A$255,A31,$L$15:$L$255,"&gt;"&amp;L31)+1</f>
        <v>24</v>
      </c>
    </row>
    <row r="32" customFormat="false" ht="22.35" hidden="false" customHeight="false" outlineLevel="0" collapsed="false">
      <c r="A32" s="11" t="s">
        <v>30</v>
      </c>
      <c r="B32" s="8" t="s">
        <v>218</v>
      </c>
      <c r="C32" s="11" t="s">
        <v>219</v>
      </c>
      <c r="D32" s="11" t="s">
        <v>183</v>
      </c>
      <c r="E32" s="11" t="s">
        <v>181</v>
      </c>
      <c r="F32" s="9" t="n">
        <v>5</v>
      </c>
      <c r="G32" s="9" t="n">
        <v>2</v>
      </c>
      <c r="H32" s="9" t="n">
        <v>1</v>
      </c>
      <c r="I32" s="9" t="n">
        <v>1</v>
      </c>
      <c r="J32" s="9" t="n">
        <v>1</v>
      </c>
      <c r="K32" s="15" t="n">
        <v>0</v>
      </c>
      <c r="L32" s="16" t="n">
        <f aca="false">ROUND(SUMPRODUCT(F32:J32,TRANSPOSE($B$6:$B$10))/$B$11+K32,2)</f>
        <v>2.4</v>
      </c>
      <c r="M32" s="9" t="n">
        <f aca="false">COUNTIFS($A$15:$A$255,A32,$L$15:$L$255,"&gt;"&amp;L32)+1</f>
        <v>30</v>
      </c>
    </row>
    <row r="33" customFormat="false" ht="32.8" hidden="false" customHeight="false" outlineLevel="0" collapsed="false">
      <c r="A33" s="11" t="s">
        <v>30</v>
      </c>
      <c r="B33" s="8" t="s">
        <v>220</v>
      </c>
      <c r="C33" s="11" t="s">
        <v>221</v>
      </c>
      <c r="D33" s="11" t="s">
        <v>183</v>
      </c>
      <c r="E33" s="11" t="s">
        <v>181</v>
      </c>
      <c r="F33" s="9" t="n">
        <v>5</v>
      </c>
      <c r="G33" s="9" t="n">
        <v>5</v>
      </c>
      <c r="H33" s="9" t="n">
        <v>5</v>
      </c>
      <c r="I33" s="9" t="n">
        <v>2</v>
      </c>
      <c r="J33" s="9" t="n">
        <v>1</v>
      </c>
      <c r="K33" s="15" t="n">
        <v>0</v>
      </c>
      <c r="L33" s="16" t="n">
        <f aca="false">ROUND(SUMPRODUCT(F33:J33,TRANSPOSE($B$6:$B$10))/$B$11+K33,2)</f>
        <v>3.95</v>
      </c>
      <c r="M33" s="9" t="n">
        <f aca="false">COUNTIFS($A$15:$A$255,A33,$L$15:$L$255,"&gt;"&amp;L33)+1</f>
        <v>4</v>
      </c>
    </row>
    <row r="34" customFormat="false" ht="22.35" hidden="false" customHeight="false" outlineLevel="0" collapsed="false">
      <c r="A34" s="11" t="s">
        <v>30</v>
      </c>
      <c r="B34" s="8" t="s">
        <v>222</v>
      </c>
      <c r="C34" s="11" t="s">
        <v>223</v>
      </c>
      <c r="D34" s="11" t="s">
        <v>183</v>
      </c>
      <c r="E34" s="11" t="s">
        <v>181</v>
      </c>
      <c r="F34" s="9" t="n">
        <v>5</v>
      </c>
      <c r="G34" s="9" t="n">
        <v>5</v>
      </c>
      <c r="H34" s="9" t="n">
        <v>1</v>
      </c>
      <c r="I34" s="9" t="n">
        <v>1</v>
      </c>
      <c r="J34" s="9" t="n">
        <v>1</v>
      </c>
      <c r="K34" s="15" t="n">
        <v>0</v>
      </c>
      <c r="L34" s="16" t="n">
        <f aca="false">ROUND(SUMPRODUCT(F34:J34,TRANSPOSE($B$6:$B$10))/$B$11+K34,2)</f>
        <v>3</v>
      </c>
      <c r="M34" s="9" t="n">
        <f aca="false">COUNTIFS($A$15:$A$255,A34,$L$15:$L$255,"&gt;"&amp;L34)+1</f>
        <v>17</v>
      </c>
    </row>
    <row r="35" customFormat="false" ht="22.35" hidden="false" customHeight="false" outlineLevel="0" collapsed="false">
      <c r="A35" s="11" t="s">
        <v>30</v>
      </c>
      <c r="B35" s="8" t="s">
        <v>224</v>
      </c>
      <c r="C35" s="11" t="s">
        <v>225</v>
      </c>
      <c r="D35" s="11" t="s">
        <v>212</v>
      </c>
      <c r="E35" s="11" t="s">
        <v>181</v>
      </c>
      <c r="F35" s="9" t="n">
        <v>5</v>
      </c>
      <c r="G35" s="9" t="n">
        <v>2</v>
      </c>
      <c r="H35" s="9" t="n">
        <v>5</v>
      </c>
      <c r="I35" s="9" t="n">
        <v>5</v>
      </c>
      <c r="J35" s="9" t="n">
        <v>2</v>
      </c>
      <c r="K35" s="15" t="n">
        <v>0</v>
      </c>
      <c r="L35" s="16" t="n">
        <f aca="false">ROUND(SUMPRODUCT(F35:J35,TRANSPOSE($B$6:$B$10))/$B$11+K35,2)</f>
        <v>3.95</v>
      </c>
      <c r="M35" s="9" t="n">
        <f aca="false">COUNTIFS($A$15:$A$255,A35,$L$15:$L$255,"&gt;"&amp;L35)+1</f>
        <v>4</v>
      </c>
    </row>
    <row r="36" customFormat="false" ht="22.35" hidden="false" customHeight="false" outlineLevel="0" collapsed="false">
      <c r="A36" s="11" t="s">
        <v>30</v>
      </c>
      <c r="B36" s="8" t="s">
        <v>226</v>
      </c>
      <c r="C36" s="11" t="s">
        <v>227</v>
      </c>
      <c r="D36" s="11" t="s">
        <v>183</v>
      </c>
      <c r="E36" s="11" t="s">
        <v>181</v>
      </c>
      <c r="F36" s="9" t="n">
        <v>5</v>
      </c>
      <c r="G36" s="9" t="n">
        <v>1</v>
      </c>
      <c r="H36" s="9" t="n">
        <v>5</v>
      </c>
      <c r="I36" s="9" t="n">
        <v>3</v>
      </c>
      <c r="J36" s="9" t="n">
        <v>1</v>
      </c>
      <c r="K36" s="15" t="n">
        <v>0</v>
      </c>
      <c r="L36" s="16" t="n">
        <f aca="false">ROUND(SUMPRODUCT(F36:J36,TRANSPOSE($B$6:$B$10))/$B$11+K36,2)</f>
        <v>3.3</v>
      </c>
      <c r="M36" s="9" t="n">
        <f aca="false">COUNTIFS($A$15:$A$255,A36,$L$15:$L$255,"&gt;"&amp;L36)+1</f>
        <v>15</v>
      </c>
    </row>
    <row r="37" customFormat="false" ht="15" hidden="false" customHeight="false" outlineLevel="0" collapsed="false">
      <c r="A37" s="11" t="s">
        <v>30</v>
      </c>
      <c r="B37" s="8" t="s">
        <v>228</v>
      </c>
      <c r="C37" s="11" t="s">
        <v>229</v>
      </c>
      <c r="D37" s="11" t="s">
        <v>183</v>
      </c>
      <c r="E37" s="11" t="s">
        <v>181</v>
      </c>
      <c r="F37" s="9" t="n">
        <v>5</v>
      </c>
      <c r="G37" s="9" t="n">
        <v>4</v>
      </c>
      <c r="H37" s="9" t="n">
        <v>1</v>
      </c>
      <c r="I37" s="9" t="n">
        <v>5</v>
      </c>
      <c r="J37" s="9" t="n">
        <v>1</v>
      </c>
      <c r="K37" s="15" t="n">
        <v>0</v>
      </c>
      <c r="L37" s="16" t="n">
        <f aca="false">ROUND(SUMPRODUCT(F37:J37,TRANSPOSE($B$6:$B$10))/$B$11+K37,2)</f>
        <v>3.4</v>
      </c>
      <c r="M37" s="9" t="n">
        <f aca="false">COUNTIFS($A$15:$A$255,A37,$L$15:$L$255,"&gt;"&amp;L37)+1</f>
        <v>13</v>
      </c>
    </row>
    <row r="38" customFormat="false" ht="22.35" hidden="false" customHeight="false" outlineLevel="0" collapsed="false">
      <c r="A38" s="11" t="s">
        <v>30</v>
      </c>
      <c r="B38" s="8" t="s">
        <v>230</v>
      </c>
      <c r="C38" s="11" t="s">
        <v>231</v>
      </c>
      <c r="D38" s="11" t="s">
        <v>232</v>
      </c>
      <c r="E38" s="11" t="s">
        <v>233</v>
      </c>
      <c r="F38" s="9" t="n">
        <v>1</v>
      </c>
      <c r="G38" s="9" t="n">
        <v>5</v>
      </c>
      <c r="H38" s="9" t="n">
        <v>1</v>
      </c>
      <c r="I38" s="9" t="n">
        <v>5</v>
      </c>
      <c r="J38" s="9" t="n">
        <v>5</v>
      </c>
      <c r="K38" s="15" t="n">
        <v>0</v>
      </c>
      <c r="L38" s="16" t="n">
        <f aca="false">ROUND(SUMPRODUCT(F38:J38,TRANSPOSE($B$6:$B$10))/$B$11+K38,2)</f>
        <v>3</v>
      </c>
      <c r="M38" s="9" t="n">
        <f aca="false">COUNTIFS($A$15:$A$255,A38,$L$15:$L$255,"&gt;"&amp;L38)+1</f>
        <v>17</v>
      </c>
    </row>
    <row r="39" customFormat="false" ht="53.7" hidden="false" customHeight="false" outlineLevel="0" collapsed="false">
      <c r="A39" s="11" t="s">
        <v>30</v>
      </c>
      <c r="B39" s="8" t="s">
        <v>234</v>
      </c>
      <c r="C39" s="11" t="s">
        <v>235</v>
      </c>
      <c r="D39" s="11" t="s">
        <v>236</v>
      </c>
      <c r="E39" s="11" t="s">
        <v>181</v>
      </c>
      <c r="F39" s="9" t="n">
        <v>5</v>
      </c>
      <c r="G39" s="9" t="n">
        <v>5</v>
      </c>
      <c r="H39" s="9" t="n">
        <v>1</v>
      </c>
      <c r="I39" s="9" t="n">
        <v>1</v>
      </c>
      <c r="J39" s="9" t="n">
        <v>3</v>
      </c>
      <c r="K39" s="15" t="n">
        <v>0</v>
      </c>
      <c r="L39" s="16" t="n">
        <f aca="false">ROUND(SUMPRODUCT(F39:J39,TRANSPOSE($B$6:$B$10))/$B$11+K39,2)</f>
        <v>3.3</v>
      </c>
      <c r="M39" s="9" t="n">
        <f aca="false">COUNTIFS($A$15:$A$255,A39,$L$15:$L$255,"&gt;"&amp;L39)+1</f>
        <v>15</v>
      </c>
    </row>
    <row r="40" customFormat="false" ht="85.05" hidden="false" customHeight="false" outlineLevel="0" collapsed="false">
      <c r="A40" s="11" t="s">
        <v>30</v>
      </c>
      <c r="B40" s="8" t="s">
        <v>237</v>
      </c>
      <c r="C40" s="11" t="s">
        <v>238</v>
      </c>
      <c r="D40" s="11" t="s">
        <v>239</v>
      </c>
      <c r="E40" s="11" t="s">
        <v>233</v>
      </c>
      <c r="F40" s="9" t="n">
        <v>1</v>
      </c>
      <c r="G40" s="9" t="n">
        <v>5</v>
      </c>
      <c r="H40" s="9" t="n">
        <v>1</v>
      </c>
      <c r="I40" s="9" t="n">
        <v>5</v>
      </c>
      <c r="J40" s="9" t="n">
        <v>5</v>
      </c>
      <c r="K40" s="15" t="n">
        <v>0</v>
      </c>
      <c r="L40" s="16" t="n">
        <f aca="false">ROUND(SUMPRODUCT(F40:J40,TRANSPOSE($B$6:$B$10))/$B$11+K40,2)</f>
        <v>3</v>
      </c>
      <c r="M40" s="9" t="n">
        <f aca="false">COUNTIFS($A$15:$A$255,A40,$L$15:$L$255,"&gt;"&amp;L40)+1</f>
        <v>17</v>
      </c>
    </row>
    <row r="41" customFormat="false" ht="95.5" hidden="false" customHeight="false" outlineLevel="0" collapsed="false">
      <c r="A41" s="11" t="s">
        <v>30</v>
      </c>
      <c r="B41" s="8" t="s">
        <v>240</v>
      </c>
      <c r="C41" s="11" t="s">
        <v>241</v>
      </c>
      <c r="D41" s="11" t="s">
        <v>242</v>
      </c>
      <c r="E41" s="11" t="s">
        <v>181</v>
      </c>
      <c r="F41" s="9" t="n">
        <v>5</v>
      </c>
      <c r="G41" s="9" t="n">
        <v>5</v>
      </c>
      <c r="H41" s="9" t="n">
        <v>5</v>
      </c>
      <c r="I41" s="9" t="n">
        <v>3</v>
      </c>
      <c r="J41" s="9" t="n">
        <v>3</v>
      </c>
      <c r="K41" s="15" t="n">
        <v>0</v>
      </c>
      <c r="L41" s="16" t="n">
        <f aca="false">ROUND(SUMPRODUCT(F41:J41,TRANSPOSE($B$6:$B$10))/$B$11+K41,2)</f>
        <v>4.4</v>
      </c>
      <c r="M41" s="9" t="n">
        <f aca="false">COUNTIFS($A$15:$A$255,A41,$L$15:$L$255,"&gt;"&amp;L41)+1</f>
        <v>1</v>
      </c>
    </row>
    <row r="42" customFormat="false" ht="22.35" hidden="false" customHeight="false" outlineLevel="0" collapsed="false">
      <c r="A42" s="11" t="s">
        <v>30</v>
      </c>
      <c r="B42" s="8" t="s">
        <v>243</v>
      </c>
      <c r="C42" s="11" t="s">
        <v>244</v>
      </c>
      <c r="D42" s="11" t="s">
        <v>232</v>
      </c>
      <c r="E42" s="11" t="s">
        <v>233</v>
      </c>
      <c r="F42" s="9" t="n">
        <v>1</v>
      </c>
      <c r="G42" s="9" t="n">
        <v>5</v>
      </c>
      <c r="H42" s="9" t="n">
        <v>1</v>
      </c>
      <c r="I42" s="9" t="n">
        <v>5</v>
      </c>
      <c r="J42" s="9" t="n">
        <v>5</v>
      </c>
      <c r="K42" s="15" t="n">
        <v>0</v>
      </c>
      <c r="L42" s="16" t="n">
        <f aca="false">ROUND(SUMPRODUCT(F42:J42,TRANSPOSE($B$6:$B$10))/$B$11+K42,2)</f>
        <v>3</v>
      </c>
      <c r="M42" s="9" t="n">
        <f aca="false">COUNTIFS($A$15:$A$255,A42,$L$15:$L$255,"&gt;"&amp;L42)+1</f>
        <v>17</v>
      </c>
    </row>
    <row r="43" customFormat="false" ht="64.15" hidden="false" customHeight="false" outlineLevel="0" collapsed="false">
      <c r="A43" s="11" t="s">
        <v>30</v>
      </c>
      <c r="B43" s="8" t="s">
        <v>245</v>
      </c>
      <c r="C43" s="11" t="s">
        <v>246</v>
      </c>
      <c r="D43" s="11" t="s">
        <v>247</v>
      </c>
      <c r="E43" s="11" t="s">
        <v>233</v>
      </c>
      <c r="F43" s="9" t="n">
        <v>1</v>
      </c>
      <c r="G43" s="9" t="n">
        <v>5</v>
      </c>
      <c r="H43" s="9" t="n">
        <v>1</v>
      </c>
      <c r="I43" s="9" t="n">
        <v>5</v>
      </c>
      <c r="J43" s="9" t="n">
        <v>5</v>
      </c>
      <c r="K43" s="15" t="n">
        <v>0</v>
      </c>
      <c r="L43" s="16" t="n">
        <f aca="false">ROUND(SUMPRODUCT(F43:J43,TRANSPOSE($B$6:$B$10))/$B$11+K43,2)</f>
        <v>3</v>
      </c>
      <c r="M43" s="9" t="n">
        <f aca="false">COUNTIFS($A$15:$A$255,A43,$L$15:$L$255,"&gt;"&amp;L43)+1</f>
        <v>17</v>
      </c>
    </row>
    <row r="44" customFormat="false" ht="22.35" hidden="false" customHeight="false" outlineLevel="0" collapsed="false">
      <c r="A44" s="11" t="s">
        <v>30</v>
      </c>
      <c r="B44" s="8" t="s">
        <v>248</v>
      </c>
      <c r="C44" s="11" t="s">
        <v>249</v>
      </c>
      <c r="D44" s="11" t="s">
        <v>250</v>
      </c>
      <c r="E44" s="11" t="s">
        <v>233</v>
      </c>
      <c r="F44" s="9" t="n">
        <v>1</v>
      </c>
      <c r="G44" s="9" t="n">
        <v>5</v>
      </c>
      <c r="H44" s="9" t="n">
        <v>1</v>
      </c>
      <c r="I44" s="9" t="n">
        <v>5</v>
      </c>
      <c r="J44" s="9" t="n">
        <v>5</v>
      </c>
      <c r="K44" s="15" t="n">
        <v>0</v>
      </c>
      <c r="L44" s="16" t="n">
        <f aca="false">ROUND(SUMPRODUCT(F44:J44,TRANSPOSE($B$6:$B$10))/$B$11+K44,2)</f>
        <v>3</v>
      </c>
      <c r="M44" s="9" t="n">
        <f aca="false">COUNTIFS($A$15:$A$255,A44,$L$15:$L$255,"&gt;"&amp;L44)+1</f>
        <v>17</v>
      </c>
    </row>
    <row r="45" customFormat="false" ht="85.05" hidden="false" customHeight="false" outlineLevel="0" collapsed="false">
      <c r="A45" s="11" t="s">
        <v>30</v>
      </c>
      <c r="B45" s="8" t="s">
        <v>251</v>
      </c>
      <c r="C45" s="11" t="s">
        <v>252</v>
      </c>
      <c r="D45" s="11" t="s">
        <v>253</v>
      </c>
      <c r="E45" s="11" t="s">
        <v>181</v>
      </c>
      <c r="F45" s="9" t="n">
        <v>5</v>
      </c>
      <c r="G45" s="9" t="n">
        <v>3</v>
      </c>
      <c r="H45" s="9" t="n">
        <v>5</v>
      </c>
      <c r="I45" s="9" t="n">
        <v>3</v>
      </c>
      <c r="J45" s="9" t="n">
        <v>3</v>
      </c>
      <c r="K45" s="15" t="n">
        <v>0</v>
      </c>
      <c r="L45" s="16" t="n">
        <f aca="false">ROUND(SUMPRODUCT(F45:J45,TRANSPOSE($B$6:$B$10))/$B$11+K45,2)</f>
        <v>4</v>
      </c>
      <c r="M45" s="9" t="n">
        <f aca="false">COUNTIFS($A$15:$A$255,A45,$L$15:$L$255,"&gt;"&amp;L45)+1</f>
        <v>3</v>
      </c>
    </row>
    <row r="46" customFormat="false" ht="64.15" hidden="false" customHeight="false" outlineLevel="0" collapsed="false">
      <c r="A46" s="11" t="s">
        <v>30</v>
      </c>
      <c r="B46" s="8" t="s">
        <v>254</v>
      </c>
      <c r="C46" s="11" t="s">
        <v>255</v>
      </c>
      <c r="D46" s="11" t="s">
        <v>256</v>
      </c>
      <c r="E46" s="11" t="s">
        <v>181</v>
      </c>
      <c r="F46" s="9" t="n">
        <v>5</v>
      </c>
      <c r="G46" s="9" t="n">
        <v>5</v>
      </c>
      <c r="H46" s="9" t="n">
        <v>2</v>
      </c>
      <c r="I46" s="9" t="n">
        <v>5</v>
      </c>
      <c r="J46" s="9" t="n">
        <v>3</v>
      </c>
      <c r="K46" s="15" t="n">
        <v>0</v>
      </c>
      <c r="L46" s="16" t="n">
        <f aca="false">ROUND(SUMPRODUCT(F46:J46,TRANSPOSE($B$6:$B$10))/$B$11+K46,2)</f>
        <v>4.1</v>
      </c>
      <c r="M46" s="9" t="n">
        <f aca="false">COUNTIFS($A$15:$A$255,A46,$L$15:$L$255,"&gt;"&amp;L46)+1</f>
        <v>2</v>
      </c>
    </row>
    <row r="47" customFormat="false" ht="43.25" hidden="false" customHeight="false" outlineLevel="0" collapsed="false">
      <c r="A47" s="11" t="s">
        <v>30</v>
      </c>
      <c r="B47" s="8" t="s">
        <v>257</v>
      </c>
      <c r="C47" s="11" t="s">
        <v>258</v>
      </c>
      <c r="D47" s="11" t="s">
        <v>259</v>
      </c>
      <c r="E47" s="11" t="s">
        <v>233</v>
      </c>
      <c r="F47" s="9" t="n">
        <v>1</v>
      </c>
      <c r="G47" s="9" t="n">
        <v>5</v>
      </c>
      <c r="H47" s="9" t="n">
        <v>1</v>
      </c>
      <c r="I47" s="9" t="n">
        <v>5</v>
      </c>
      <c r="J47" s="9" t="n">
        <v>5</v>
      </c>
      <c r="K47" s="15" t="n">
        <v>0</v>
      </c>
      <c r="L47" s="16" t="n">
        <f aca="false">ROUND(SUMPRODUCT(F47:J47,TRANSPOSE($B$6:$B$10))/$B$11+K47,2)</f>
        <v>3</v>
      </c>
      <c r="M47" s="9" t="n">
        <f aca="false">COUNTIFS($A$15:$A$255,A47,$L$15:$L$255,"&gt;"&amp;L47)+1</f>
        <v>17</v>
      </c>
    </row>
    <row r="48" customFormat="false" ht="64.15" hidden="false" customHeight="false" outlineLevel="0" collapsed="false">
      <c r="A48" s="11" t="s">
        <v>32</v>
      </c>
      <c r="B48" s="8" t="s">
        <v>178</v>
      </c>
      <c r="C48" s="11" t="s">
        <v>260</v>
      </c>
      <c r="D48" s="11" t="s">
        <v>261</v>
      </c>
      <c r="E48" s="11" t="s">
        <v>181</v>
      </c>
      <c r="F48" s="9" t="n">
        <v>5</v>
      </c>
      <c r="G48" s="9" t="n">
        <v>5</v>
      </c>
      <c r="H48" s="9" t="n">
        <v>5</v>
      </c>
      <c r="I48" s="9" t="n">
        <v>5</v>
      </c>
      <c r="J48" s="9" t="n">
        <v>2</v>
      </c>
      <c r="K48" s="15" t="n">
        <v>0</v>
      </c>
      <c r="L48" s="16" t="n">
        <f aca="false">ROUND(SUMPRODUCT(F48:J48,TRANSPOSE($B$6:$B$10))/$B$11+K48,2)</f>
        <v>4.55</v>
      </c>
      <c r="M48" s="9" t="n">
        <f aca="false">COUNTIFS($A$15:$A$255,A48,$L$15:$L$255,"&gt;"&amp;L48)+1</f>
        <v>1</v>
      </c>
    </row>
    <row r="49" customFormat="false" ht="22.35" hidden="false" customHeight="false" outlineLevel="0" collapsed="false">
      <c r="A49" s="11" t="s">
        <v>32</v>
      </c>
      <c r="B49" s="8" t="s">
        <v>262</v>
      </c>
      <c r="C49" s="11" t="s">
        <v>263</v>
      </c>
      <c r="D49" s="11" t="s">
        <v>183</v>
      </c>
      <c r="E49" s="11" t="s">
        <v>264</v>
      </c>
      <c r="F49" s="9" t="n">
        <v>5</v>
      </c>
      <c r="G49" s="9" t="n">
        <v>2</v>
      </c>
      <c r="H49" s="9" t="n">
        <v>1</v>
      </c>
      <c r="I49" s="9" t="n">
        <v>1</v>
      </c>
      <c r="J49" s="9" t="n">
        <v>1</v>
      </c>
      <c r="K49" s="15" t="n">
        <v>0</v>
      </c>
      <c r="L49" s="16" t="n">
        <f aca="false">ROUND(SUMPRODUCT(F49:J49,TRANSPOSE($B$6:$B$10))/$B$11+K49,2)</f>
        <v>2.4</v>
      </c>
      <c r="M49" s="9" t="n">
        <f aca="false">COUNTIFS($A$15:$A$255,A49,$L$15:$L$255,"&gt;"&amp;L49)+1</f>
        <v>30</v>
      </c>
    </row>
    <row r="50" customFormat="false" ht="15" hidden="false" customHeight="false" outlineLevel="0" collapsed="false">
      <c r="A50" s="11" t="s">
        <v>32</v>
      </c>
      <c r="B50" s="8" t="s">
        <v>185</v>
      </c>
      <c r="C50" s="11" t="s">
        <v>185</v>
      </c>
      <c r="D50" s="11" t="s">
        <v>183</v>
      </c>
      <c r="E50" s="11" t="s">
        <v>181</v>
      </c>
      <c r="F50" s="9" t="n">
        <v>5</v>
      </c>
      <c r="G50" s="9" t="n">
        <v>2</v>
      </c>
      <c r="H50" s="9" t="n">
        <v>2</v>
      </c>
      <c r="I50" s="9" t="n">
        <v>5</v>
      </c>
      <c r="J50" s="9" t="n">
        <v>1</v>
      </c>
      <c r="K50" s="15" t="n">
        <v>0</v>
      </c>
      <c r="L50" s="16" t="n">
        <f aca="false">ROUND(SUMPRODUCT(F50:J50,TRANSPOSE($B$6:$B$10))/$B$11+K50,2)</f>
        <v>3.2</v>
      </c>
      <c r="M50" s="9" t="n">
        <f aca="false">COUNTIFS($A$15:$A$255,A50,$L$15:$L$255,"&gt;"&amp;L50)+1</f>
        <v>19</v>
      </c>
    </row>
    <row r="51" customFormat="false" ht="74.6" hidden="false" customHeight="false" outlineLevel="0" collapsed="false">
      <c r="A51" s="11" t="s">
        <v>32</v>
      </c>
      <c r="B51" s="8" t="s">
        <v>81</v>
      </c>
      <c r="C51" s="11" t="s">
        <v>187</v>
      </c>
      <c r="D51" s="11" t="s">
        <v>183</v>
      </c>
      <c r="E51" s="11" t="s">
        <v>181</v>
      </c>
      <c r="F51" s="9" t="n">
        <v>5</v>
      </c>
      <c r="G51" s="9" t="n">
        <v>5</v>
      </c>
      <c r="H51" s="9" t="n">
        <v>5</v>
      </c>
      <c r="I51" s="9" t="n">
        <v>2</v>
      </c>
      <c r="J51" s="9" t="n">
        <v>1</v>
      </c>
      <c r="K51" s="15" t="n">
        <v>0</v>
      </c>
      <c r="L51" s="16" t="n">
        <f aca="false">ROUND(SUMPRODUCT(F51:J51,TRANSPOSE($B$6:$B$10))/$B$11+K51,2)</f>
        <v>3.95</v>
      </c>
      <c r="M51" s="9" t="n">
        <f aca="false">COUNTIFS($A$15:$A$255,A51,$L$15:$L$255,"&gt;"&amp;L51)+1</f>
        <v>5</v>
      </c>
    </row>
    <row r="52" customFormat="false" ht="32.8" hidden="false" customHeight="false" outlineLevel="0" collapsed="false">
      <c r="A52" s="11" t="s">
        <v>32</v>
      </c>
      <c r="B52" s="8" t="s">
        <v>265</v>
      </c>
      <c r="C52" s="11" t="s">
        <v>266</v>
      </c>
      <c r="D52" s="11" t="s">
        <v>267</v>
      </c>
      <c r="E52" s="11" t="s">
        <v>233</v>
      </c>
      <c r="F52" s="9" t="n">
        <v>1</v>
      </c>
      <c r="G52" s="9" t="n">
        <v>5</v>
      </c>
      <c r="H52" s="9" t="n">
        <v>5</v>
      </c>
      <c r="I52" s="9" t="n">
        <v>2</v>
      </c>
      <c r="J52" s="9" t="n">
        <v>2</v>
      </c>
      <c r="K52" s="15" t="n">
        <v>0</v>
      </c>
      <c r="L52" s="16" t="n">
        <f aca="false">ROUND(SUMPRODUCT(F52:J52,TRANSPOSE($B$6:$B$10))/$B$11+K52,2)</f>
        <v>2.9</v>
      </c>
      <c r="M52" s="9" t="n">
        <f aca="false">COUNTIFS($A$15:$A$255,A52,$L$15:$L$255,"&gt;"&amp;L52)+1</f>
        <v>27</v>
      </c>
    </row>
    <row r="53" customFormat="false" ht="15" hidden="false" customHeight="false" outlineLevel="0" collapsed="false">
      <c r="A53" s="11" t="s">
        <v>32</v>
      </c>
      <c r="B53" s="8" t="s">
        <v>268</v>
      </c>
      <c r="C53" s="11" t="s">
        <v>269</v>
      </c>
      <c r="D53" s="11" t="s">
        <v>183</v>
      </c>
      <c r="E53" s="11" t="s">
        <v>181</v>
      </c>
      <c r="F53" s="9" t="n">
        <v>5</v>
      </c>
      <c r="G53" s="9" t="n">
        <v>3</v>
      </c>
      <c r="H53" s="9" t="n">
        <v>5</v>
      </c>
      <c r="I53" s="9" t="n">
        <v>2</v>
      </c>
      <c r="J53" s="9" t="n">
        <v>1</v>
      </c>
      <c r="K53" s="15" t="n">
        <v>0</v>
      </c>
      <c r="L53" s="16" t="n">
        <f aca="false">ROUND(SUMPRODUCT(F53:J53,TRANSPOSE($B$6:$B$10))/$B$11+K53,2)</f>
        <v>3.55</v>
      </c>
      <c r="M53" s="9" t="n">
        <f aca="false">COUNTIFS($A$15:$A$255,A53,$L$15:$L$255,"&gt;"&amp;L53)+1</f>
        <v>12</v>
      </c>
    </row>
    <row r="54" customFormat="false" ht="32.8" hidden="false" customHeight="false" outlineLevel="0" collapsed="false">
      <c r="A54" s="11" t="s">
        <v>32</v>
      </c>
      <c r="B54" s="8" t="s">
        <v>270</v>
      </c>
      <c r="C54" s="11" t="s">
        <v>271</v>
      </c>
      <c r="D54" s="11" t="s">
        <v>183</v>
      </c>
      <c r="E54" s="11" t="s">
        <v>272</v>
      </c>
      <c r="F54" s="9" t="n">
        <v>5</v>
      </c>
      <c r="G54" s="9" t="n">
        <v>4</v>
      </c>
      <c r="H54" s="9" t="n">
        <v>5</v>
      </c>
      <c r="I54" s="9" t="n">
        <v>1</v>
      </c>
      <c r="J54" s="9" t="n">
        <v>1</v>
      </c>
      <c r="K54" s="15" t="n">
        <v>0</v>
      </c>
      <c r="L54" s="16" t="n">
        <f aca="false">ROUND(SUMPRODUCT(F54:J54,TRANSPOSE($B$6:$B$10))/$B$11+K54,2)</f>
        <v>3.6</v>
      </c>
      <c r="M54" s="9" t="n">
        <f aca="false">COUNTIFS($A$15:$A$255,A54,$L$15:$L$255,"&gt;"&amp;L54)+1</f>
        <v>10</v>
      </c>
    </row>
    <row r="55" customFormat="false" ht="22.35" hidden="false" customHeight="false" outlineLevel="0" collapsed="false">
      <c r="A55" s="11" t="s">
        <v>32</v>
      </c>
      <c r="B55" s="8" t="s">
        <v>273</v>
      </c>
      <c r="C55" s="11" t="s">
        <v>274</v>
      </c>
      <c r="D55" s="11" t="s">
        <v>183</v>
      </c>
      <c r="E55" s="11" t="s">
        <v>275</v>
      </c>
      <c r="F55" s="9" t="n">
        <v>5</v>
      </c>
      <c r="G55" s="9" t="n">
        <v>2</v>
      </c>
      <c r="H55" s="9" t="n">
        <v>1</v>
      </c>
      <c r="I55" s="9" t="n">
        <v>1</v>
      </c>
      <c r="J55" s="9" t="n">
        <v>1</v>
      </c>
      <c r="K55" s="15" t="n">
        <v>0</v>
      </c>
      <c r="L55" s="16" t="n">
        <f aca="false">ROUND(SUMPRODUCT(F55:J55,TRANSPOSE($B$6:$B$10))/$B$11+K55,2)</f>
        <v>2.4</v>
      </c>
      <c r="M55" s="9" t="n">
        <f aca="false">COUNTIFS($A$15:$A$255,A55,$L$15:$L$255,"&gt;"&amp;L55)+1</f>
        <v>30</v>
      </c>
    </row>
    <row r="56" customFormat="false" ht="43.25" hidden="false" customHeight="false" outlineLevel="0" collapsed="false">
      <c r="A56" s="11" t="s">
        <v>32</v>
      </c>
      <c r="B56" s="8" t="s">
        <v>86</v>
      </c>
      <c r="C56" s="11" t="s">
        <v>86</v>
      </c>
      <c r="D56" s="11" t="s">
        <v>276</v>
      </c>
      <c r="E56" s="11" t="s">
        <v>181</v>
      </c>
      <c r="F56" s="9" t="n">
        <v>5</v>
      </c>
      <c r="G56" s="9" t="n">
        <v>4</v>
      </c>
      <c r="H56" s="9" t="n">
        <v>1</v>
      </c>
      <c r="I56" s="9" t="n">
        <v>2</v>
      </c>
      <c r="J56" s="9" t="n">
        <v>2</v>
      </c>
      <c r="K56" s="15" t="n">
        <v>0</v>
      </c>
      <c r="L56" s="16" t="n">
        <f aca="false">ROUND(SUMPRODUCT(F56:J56,TRANSPOSE($B$6:$B$10))/$B$11+K56,2)</f>
        <v>3.1</v>
      </c>
      <c r="M56" s="9" t="n">
        <f aca="false">COUNTIFS($A$15:$A$255,A56,$L$15:$L$255,"&gt;"&amp;L56)+1</f>
        <v>20</v>
      </c>
    </row>
    <row r="57" customFormat="false" ht="32.8" hidden="false" customHeight="false" outlineLevel="0" collapsed="false">
      <c r="A57" s="11" t="s">
        <v>32</v>
      </c>
      <c r="B57" s="8" t="s">
        <v>277</v>
      </c>
      <c r="C57" s="11" t="s">
        <v>277</v>
      </c>
      <c r="D57" s="11" t="s">
        <v>278</v>
      </c>
      <c r="E57" s="11" t="s">
        <v>279</v>
      </c>
      <c r="F57" s="9" t="n">
        <v>2</v>
      </c>
      <c r="G57" s="9" t="n">
        <v>5</v>
      </c>
      <c r="H57" s="9" t="n">
        <v>1</v>
      </c>
      <c r="I57" s="9" t="n">
        <v>5</v>
      </c>
      <c r="J57" s="9" t="n">
        <v>2</v>
      </c>
      <c r="K57" s="15" t="n">
        <v>0</v>
      </c>
      <c r="L57" s="16" t="n">
        <f aca="false">ROUND(SUMPRODUCT(F57:J57,TRANSPOSE($B$6:$B$10))/$B$11+K57,2)</f>
        <v>2.85</v>
      </c>
      <c r="M57" s="9" t="n">
        <f aca="false">COUNTIFS($A$15:$A$255,A57,$L$15:$L$255,"&gt;"&amp;L57)+1</f>
        <v>28</v>
      </c>
    </row>
    <row r="58" customFormat="false" ht="105.95" hidden="false" customHeight="false" outlineLevel="0" collapsed="false">
      <c r="A58" s="11" t="s">
        <v>32</v>
      </c>
      <c r="B58" s="8" t="s">
        <v>280</v>
      </c>
      <c r="C58" s="11" t="s">
        <v>202</v>
      </c>
      <c r="D58" s="11" t="s">
        <v>281</v>
      </c>
      <c r="E58" s="11" t="s">
        <v>181</v>
      </c>
      <c r="F58" s="9" t="n">
        <v>5</v>
      </c>
      <c r="G58" s="9" t="n">
        <v>5</v>
      </c>
      <c r="H58" s="9" t="n">
        <v>1</v>
      </c>
      <c r="I58" s="9" t="n">
        <v>5</v>
      </c>
      <c r="J58" s="9" t="n">
        <v>2</v>
      </c>
      <c r="K58" s="15" t="n">
        <v>0</v>
      </c>
      <c r="L58" s="16" t="n">
        <f aca="false">ROUND(SUMPRODUCT(F58:J58,TRANSPOSE($B$6:$B$10))/$B$11+K58,2)</f>
        <v>3.75</v>
      </c>
      <c r="M58" s="9" t="n">
        <f aca="false">COUNTIFS($A$15:$A$255,A58,$L$15:$L$255,"&gt;"&amp;L58)+1</f>
        <v>9</v>
      </c>
    </row>
    <row r="59" customFormat="false" ht="32.8" hidden="false" customHeight="false" outlineLevel="0" collapsed="false">
      <c r="A59" s="11" t="s">
        <v>32</v>
      </c>
      <c r="B59" s="8" t="s">
        <v>282</v>
      </c>
      <c r="C59" s="11" t="s">
        <v>283</v>
      </c>
      <c r="D59" s="11" t="s">
        <v>183</v>
      </c>
      <c r="E59" s="11" t="s">
        <v>284</v>
      </c>
      <c r="F59" s="9" t="n">
        <v>5</v>
      </c>
      <c r="G59" s="9" t="n">
        <v>5</v>
      </c>
      <c r="H59" s="9" t="n">
        <v>5</v>
      </c>
      <c r="I59" s="9" t="n">
        <v>1</v>
      </c>
      <c r="J59" s="9" t="n">
        <v>1</v>
      </c>
      <c r="K59" s="15" t="n">
        <v>0</v>
      </c>
      <c r="L59" s="16" t="n">
        <f aca="false">ROUND(SUMPRODUCT(F59:J59,TRANSPOSE($B$6:$B$10))/$B$11+K59,2)</f>
        <v>3.8</v>
      </c>
      <c r="M59" s="9" t="n">
        <f aca="false">COUNTIFS($A$15:$A$255,A59,$L$15:$L$255,"&gt;"&amp;L59)+1</f>
        <v>8</v>
      </c>
    </row>
    <row r="60" customFormat="false" ht="32.8" hidden="false" customHeight="false" outlineLevel="0" collapsed="false">
      <c r="A60" s="11" t="s">
        <v>32</v>
      </c>
      <c r="B60" s="8" t="s">
        <v>285</v>
      </c>
      <c r="C60" s="11" t="s">
        <v>286</v>
      </c>
      <c r="D60" s="11" t="s">
        <v>183</v>
      </c>
      <c r="E60" s="11" t="s">
        <v>181</v>
      </c>
      <c r="F60" s="9" t="n">
        <v>5</v>
      </c>
      <c r="G60" s="9" t="n">
        <v>5</v>
      </c>
      <c r="H60" s="9" t="n">
        <v>5</v>
      </c>
      <c r="I60" s="9" t="n">
        <v>2</v>
      </c>
      <c r="J60" s="9" t="n">
        <v>1</v>
      </c>
      <c r="K60" s="15" t="n">
        <v>0</v>
      </c>
      <c r="L60" s="16" t="n">
        <f aca="false">ROUND(SUMPRODUCT(F60:J60,TRANSPOSE($B$6:$B$10))/$B$11+K60,2)</f>
        <v>3.95</v>
      </c>
      <c r="M60" s="9" t="n">
        <f aca="false">COUNTIFS($A$15:$A$255,A60,$L$15:$L$255,"&gt;"&amp;L60)+1</f>
        <v>5</v>
      </c>
    </row>
    <row r="61" customFormat="false" ht="22.35" hidden="false" customHeight="false" outlineLevel="0" collapsed="false">
      <c r="A61" s="11" t="s">
        <v>32</v>
      </c>
      <c r="B61" s="8" t="s">
        <v>287</v>
      </c>
      <c r="C61" s="11" t="s">
        <v>288</v>
      </c>
      <c r="D61" s="11" t="s">
        <v>183</v>
      </c>
      <c r="E61" s="11" t="s">
        <v>289</v>
      </c>
      <c r="F61" s="9" t="n">
        <v>5</v>
      </c>
      <c r="G61" s="9" t="n">
        <v>2</v>
      </c>
      <c r="H61" s="9" t="n">
        <v>1</v>
      </c>
      <c r="I61" s="9" t="n">
        <v>1</v>
      </c>
      <c r="J61" s="9" t="n">
        <v>1</v>
      </c>
      <c r="K61" s="15" t="n">
        <v>0</v>
      </c>
      <c r="L61" s="16" t="n">
        <f aca="false">ROUND(SUMPRODUCT(F61:J61,TRANSPOSE($B$6:$B$10))/$B$11+K61,2)</f>
        <v>2.4</v>
      </c>
      <c r="M61" s="9" t="n">
        <f aca="false">COUNTIFS($A$15:$A$255,A61,$L$15:$L$255,"&gt;"&amp;L61)+1</f>
        <v>30</v>
      </c>
    </row>
    <row r="62" customFormat="false" ht="22.35" hidden="false" customHeight="false" outlineLevel="0" collapsed="false">
      <c r="A62" s="11" t="s">
        <v>32</v>
      </c>
      <c r="B62" s="8" t="s">
        <v>290</v>
      </c>
      <c r="C62" s="11" t="s">
        <v>291</v>
      </c>
      <c r="D62" s="11" t="s">
        <v>183</v>
      </c>
      <c r="E62" s="11" t="s">
        <v>292</v>
      </c>
      <c r="F62" s="9" t="n">
        <v>5</v>
      </c>
      <c r="G62" s="9" t="n">
        <v>4</v>
      </c>
      <c r="H62" s="9" t="n">
        <v>4</v>
      </c>
      <c r="I62" s="9" t="n">
        <v>1</v>
      </c>
      <c r="J62" s="9" t="n">
        <v>1</v>
      </c>
      <c r="K62" s="15" t="n">
        <v>0</v>
      </c>
      <c r="L62" s="16" t="n">
        <f aca="false">ROUND(SUMPRODUCT(F62:J62,TRANSPOSE($B$6:$B$10))/$B$11+K62,2)</f>
        <v>3.4</v>
      </c>
      <c r="M62" s="9" t="n">
        <f aca="false">COUNTIFS($A$15:$A$255,A62,$L$15:$L$255,"&gt;"&amp;L62)+1</f>
        <v>17</v>
      </c>
    </row>
    <row r="63" customFormat="false" ht="32.8" hidden="false" customHeight="false" outlineLevel="0" collapsed="false">
      <c r="A63" s="11" t="s">
        <v>32</v>
      </c>
      <c r="B63" s="8" t="s">
        <v>293</v>
      </c>
      <c r="C63" s="11" t="s">
        <v>294</v>
      </c>
      <c r="D63" s="11" t="s">
        <v>295</v>
      </c>
      <c r="E63" s="11" t="s">
        <v>181</v>
      </c>
      <c r="F63" s="9" t="n">
        <v>5</v>
      </c>
      <c r="G63" s="9" t="n">
        <v>4</v>
      </c>
      <c r="H63" s="9" t="n">
        <v>5</v>
      </c>
      <c r="I63" s="9" t="n">
        <v>2</v>
      </c>
      <c r="J63" s="9" t="n">
        <v>2</v>
      </c>
      <c r="K63" s="15" t="n">
        <v>0</v>
      </c>
      <c r="L63" s="16" t="n">
        <f aca="false">ROUND(SUMPRODUCT(F63:J63,TRANSPOSE($B$6:$B$10))/$B$11+K63,2)</f>
        <v>3.9</v>
      </c>
      <c r="M63" s="9" t="n">
        <f aca="false">COUNTIFS($A$15:$A$255,A63,$L$15:$L$255,"&gt;"&amp;L63)+1</f>
        <v>7</v>
      </c>
    </row>
    <row r="64" customFormat="false" ht="53.7" hidden="false" customHeight="false" outlineLevel="0" collapsed="false">
      <c r="A64" s="11" t="s">
        <v>32</v>
      </c>
      <c r="B64" s="8" t="s">
        <v>296</v>
      </c>
      <c r="C64" s="11" t="s">
        <v>297</v>
      </c>
      <c r="D64" s="11" t="s">
        <v>183</v>
      </c>
      <c r="E64" s="11" t="s">
        <v>298</v>
      </c>
      <c r="F64" s="9" t="n">
        <v>5</v>
      </c>
      <c r="G64" s="9" t="n">
        <v>4</v>
      </c>
      <c r="H64" s="9" t="n">
        <v>5</v>
      </c>
      <c r="I64" s="9" t="n">
        <v>1</v>
      </c>
      <c r="J64" s="9" t="n">
        <v>1</v>
      </c>
      <c r="K64" s="15" t="n">
        <v>0</v>
      </c>
      <c r="L64" s="16" t="n">
        <f aca="false">ROUND(SUMPRODUCT(F64:J64,TRANSPOSE($B$6:$B$10))/$B$11+K64,2)</f>
        <v>3.6</v>
      </c>
      <c r="M64" s="9" t="n">
        <f aca="false">COUNTIFS($A$15:$A$255,A64,$L$15:$L$255,"&gt;"&amp;L64)+1</f>
        <v>10</v>
      </c>
    </row>
    <row r="65" customFormat="false" ht="22.35" hidden="false" customHeight="false" outlineLevel="0" collapsed="false">
      <c r="A65" s="11" t="s">
        <v>32</v>
      </c>
      <c r="B65" s="8" t="s">
        <v>299</v>
      </c>
      <c r="C65" s="11" t="s">
        <v>300</v>
      </c>
      <c r="D65" s="11" t="s">
        <v>183</v>
      </c>
      <c r="E65" s="11" t="s">
        <v>181</v>
      </c>
      <c r="F65" s="9" t="n">
        <v>5</v>
      </c>
      <c r="G65" s="9" t="n">
        <v>4</v>
      </c>
      <c r="H65" s="9" t="n">
        <v>2</v>
      </c>
      <c r="I65" s="9" t="n">
        <v>1</v>
      </c>
      <c r="J65" s="9" t="n">
        <v>1</v>
      </c>
      <c r="K65" s="15" t="n">
        <v>0</v>
      </c>
      <c r="L65" s="16" t="n">
        <f aca="false">ROUND(SUMPRODUCT(F65:J65,TRANSPOSE($B$6:$B$10))/$B$11+K65,2)</f>
        <v>3</v>
      </c>
      <c r="M65" s="9" t="n">
        <f aca="false">COUNTIFS($A$15:$A$255,A65,$L$15:$L$255,"&gt;"&amp;L65)+1</f>
        <v>23</v>
      </c>
    </row>
    <row r="66" customFormat="false" ht="15" hidden="false" customHeight="false" outlineLevel="0" collapsed="false">
      <c r="A66" s="11" t="s">
        <v>32</v>
      </c>
      <c r="B66" s="8" t="s">
        <v>301</v>
      </c>
      <c r="C66" s="11" t="s">
        <v>302</v>
      </c>
      <c r="D66" s="11" t="s">
        <v>183</v>
      </c>
      <c r="E66" s="11" t="s">
        <v>279</v>
      </c>
      <c r="F66" s="9" t="n">
        <v>2</v>
      </c>
      <c r="G66" s="9" t="n">
        <v>4</v>
      </c>
      <c r="H66" s="9" t="n">
        <v>1</v>
      </c>
      <c r="I66" s="9" t="n">
        <v>2</v>
      </c>
      <c r="J66" s="9" t="n">
        <v>1</v>
      </c>
      <c r="K66" s="15" t="n">
        <v>0</v>
      </c>
      <c r="L66" s="16" t="n">
        <f aca="false">ROUND(SUMPRODUCT(F66:J66,TRANSPOSE($B$6:$B$10))/$B$11+K66,2)</f>
        <v>2.05</v>
      </c>
      <c r="M66" s="9" t="n">
        <f aca="false">COUNTIFS($A$15:$A$255,A66,$L$15:$L$255,"&gt;"&amp;L66)+1</f>
        <v>33</v>
      </c>
    </row>
    <row r="67" customFormat="false" ht="53.7" hidden="false" customHeight="false" outlineLevel="0" collapsed="false">
      <c r="A67" s="11" t="s">
        <v>32</v>
      </c>
      <c r="B67" s="8" t="s">
        <v>303</v>
      </c>
      <c r="C67" s="11" t="s">
        <v>304</v>
      </c>
      <c r="D67" s="11" t="s">
        <v>305</v>
      </c>
      <c r="E67" s="11" t="s">
        <v>181</v>
      </c>
      <c r="F67" s="9" t="n">
        <v>5</v>
      </c>
      <c r="G67" s="9" t="n">
        <v>4</v>
      </c>
      <c r="H67" s="9" t="n">
        <v>1</v>
      </c>
      <c r="I67" s="9" t="n">
        <v>5</v>
      </c>
      <c r="J67" s="9" t="n">
        <v>2</v>
      </c>
      <c r="K67" s="15" t="n">
        <v>0</v>
      </c>
      <c r="L67" s="16" t="n">
        <f aca="false">ROUND(SUMPRODUCT(F67:J67,TRANSPOSE($B$6:$B$10))/$B$11+K67,2)</f>
        <v>3.55</v>
      </c>
      <c r="M67" s="9" t="n">
        <f aca="false">COUNTIFS($A$15:$A$255,A67,$L$15:$L$255,"&gt;"&amp;L67)+1</f>
        <v>12</v>
      </c>
    </row>
    <row r="68" customFormat="false" ht="15" hidden="false" customHeight="false" outlineLevel="0" collapsed="false">
      <c r="A68" s="11" t="s">
        <v>32</v>
      </c>
      <c r="B68" s="8" t="s">
        <v>306</v>
      </c>
      <c r="C68" s="11" t="s">
        <v>225</v>
      </c>
      <c r="D68" s="11" t="s">
        <v>183</v>
      </c>
      <c r="E68" s="11" t="s">
        <v>181</v>
      </c>
      <c r="F68" s="9" t="n">
        <v>5</v>
      </c>
      <c r="G68" s="9" t="n">
        <v>2</v>
      </c>
      <c r="H68" s="9" t="n">
        <v>5</v>
      </c>
      <c r="I68" s="9" t="n">
        <v>3</v>
      </c>
      <c r="J68" s="9" t="n">
        <v>1</v>
      </c>
      <c r="K68" s="15" t="n">
        <v>0</v>
      </c>
      <c r="L68" s="16" t="n">
        <f aca="false">ROUND(SUMPRODUCT(F68:J68,TRANSPOSE($B$6:$B$10))/$B$11+K68,2)</f>
        <v>3.5</v>
      </c>
      <c r="M68" s="9" t="n">
        <f aca="false">COUNTIFS($A$15:$A$255,A68,$L$15:$L$255,"&gt;"&amp;L68)+1</f>
        <v>16</v>
      </c>
    </row>
    <row r="69" customFormat="false" ht="32.8" hidden="false" customHeight="false" outlineLevel="0" collapsed="false">
      <c r="A69" s="11" t="s">
        <v>32</v>
      </c>
      <c r="B69" s="8" t="s">
        <v>307</v>
      </c>
      <c r="C69" s="11" t="s">
        <v>308</v>
      </c>
      <c r="D69" s="11" t="s">
        <v>309</v>
      </c>
      <c r="E69" s="11" t="s">
        <v>181</v>
      </c>
      <c r="F69" s="9" t="n">
        <v>5</v>
      </c>
      <c r="G69" s="9" t="n">
        <v>4</v>
      </c>
      <c r="H69" s="9" t="n">
        <v>1</v>
      </c>
      <c r="I69" s="9" t="n">
        <v>5</v>
      </c>
      <c r="J69" s="9" t="n">
        <v>2</v>
      </c>
      <c r="K69" s="15" t="n">
        <v>0</v>
      </c>
      <c r="L69" s="16" t="n">
        <f aca="false">ROUND(SUMPRODUCT(F69:J69,TRANSPOSE($B$6:$B$10))/$B$11+K69,2)</f>
        <v>3.55</v>
      </c>
      <c r="M69" s="9" t="n">
        <f aca="false">COUNTIFS($A$15:$A$255,A69,$L$15:$L$255,"&gt;"&amp;L69)+1</f>
        <v>12</v>
      </c>
    </row>
    <row r="70" customFormat="false" ht="53.7" hidden="false" customHeight="false" outlineLevel="0" collapsed="false">
      <c r="A70" s="11" t="s">
        <v>32</v>
      </c>
      <c r="B70" s="8" t="s">
        <v>310</v>
      </c>
      <c r="C70" s="11" t="s">
        <v>311</v>
      </c>
      <c r="D70" s="11" t="s">
        <v>312</v>
      </c>
      <c r="E70" s="11" t="s">
        <v>181</v>
      </c>
      <c r="F70" s="9" t="n">
        <v>5</v>
      </c>
      <c r="G70" s="9" t="n">
        <v>5</v>
      </c>
      <c r="H70" s="9" t="n">
        <v>5</v>
      </c>
      <c r="I70" s="9" t="n">
        <v>2</v>
      </c>
      <c r="J70" s="9" t="n">
        <v>2</v>
      </c>
      <c r="K70" s="15" t="n">
        <v>0</v>
      </c>
      <c r="L70" s="16" t="n">
        <f aca="false">ROUND(SUMPRODUCT(F70:J70,TRANSPOSE($B$6:$B$10))/$B$11+K70,2)</f>
        <v>4.1</v>
      </c>
      <c r="M70" s="9" t="n">
        <f aca="false">COUNTIFS($A$15:$A$255,A70,$L$15:$L$255,"&gt;"&amp;L70)+1</f>
        <v>4</v>
      </c>
    </row>
    <row r="71" customFormat="false" ht="22.35" hidden="false" customHeight="false" outlineLevel="0" collapsed="false">
      <c r="A71" s="11" t="s">
        <v>32</v>
      </c>
      <c r="B71" s="8" t="s">
        <v>313</v>
      </c>
      <c r="C71" s="11" t="s">
        <v>314</v>
      </c>
      <c r="D71" s="11" t="s">
        <v>183</v>
      </c>
      <c r="E71" s="11" t="s">
        <v>181</v>
      </c>
      <c r="F71" s="9" t="n">
        <v>5</v>
      </c>
      <c r="G71" s="9" t="n">
        <v>2</v>
      </c>
      <c r="H71" s="9" t="n">
        <v>5</v>
      </c>
      <c r="I71" s="9" t="n">
        <v>2</v>
      </c>
      <c r="J71" s="9" t="n">
        <v>1</v>
      </c>
      <c r="K71" s="15" t="n">
        <v>0</v>
      </c>
      <c r="L71" s="16" t="n">
        <f aca="false">ROUND(SUMPRODUCT(F71:J71,TRANSPOSE($B$6:$B$10))/$B$11+K71,2)</f>
        <v>3.35</v>
      </c>
      <c r="M71" s="9" t="n">
        <f aca="false">COUNTIFS($A$15:$A$255,A71,$L$15:$L$255,"&gt;"&amp;L71)+1</f>
        <v>18</v>
      </c>
    </row>
    <row r="72" customFormat="false" ht="22.35" hidden="false" customHeight="false" outlineLevel="0" collapsed="false">
      <c r="A72" s="11" t="s">
        <v>32</v>
      </c>
      <c r="B72" s="8" t="s">
        <v>315</v>
      </c>
      <c r="C72" s="11" t="s">
        <v>316</v>
      </c>
      <c r="D72" s="11" t="s">
        <v>212</v>
      </c>
      <c r="E72" s="11" t="s">
        <v>181</v>
      </c>
      <c r="F72" s="9" t="n">
        <v>5</v>
      </c>
      <c r="G72" s="9" t="n">
        <v>4</v>
      </c>
      <c r="H72" s="9" t="n">
        <v>1</v>
      </c>
      <c r="I72" s="9" t="n">
        <v>5</v>
      </c>
      <c r="J72" s="9" t="n">
        <v>2</v>
      </c>
      <c r="K72" s="15" t="n">
        <v>0</v>
      </c>
      <c r="L72" s="16" t="n">
        <f aca="false">ROUND(SUMPRODUCT(F72:J72,TRANSPOSE($B$6:$B$10))/$B$11+K72,2)</f>
        <v>3.55</v>
      </c>
      <c r="M72" s="9" t="n">
        <f aca="false">COUNTIFS($A$15:$A$255,A72,$L$15:$L$255,"&gt;"&amp;L72)+1</f>
        <v>12</v>
      </c>
    </row>
    <row r="73" customFormat="false" ht="53.7" hidden="false" customHeight="false" outlineLevel="0" collapsed="false">
      <c r="A73" s="11" t="s">
        <v>32</v>
      </c>
      <c r="B73" s="8" t="s">
        <v>317</v>
      </c>
      <c r="C73" s="11" t="s">
        <v>318</v>
      </c>
      <c r="D73" s="11" t="s">
        <v>319</v>
      </c>
      <c r="E73" s="11" t="s">
        <v>320</v>
      </c>
      <c r="F73" s="9" t="n">
        <v>5</v>
      </c>
      <c r="G73" s="9" t="n">
        <v>5</v>
      </c>
      <c r="H73" s="9" t="n">
        <v>4</v>
      </c>
      <c r="I73" s="9" t="n">
        <v>3</v>
      </c>
      <c r="J73" s="9" t="n">
        <v>3</v>
      </c>
      <c r="K73" s="15" t="n">
        <v>0</v>
      </c>
      <c r="L73" s="16" t="n">
        <f aca="false">ROUND(SUMPRODUCT(F73:J73,TRANSPOSE($B$6:$B$10))/$B$11+K73,2)</f>
        <v>4.2</v>
      </c>
      <c r="M73" s="9" t="n">
        <f aca="false">COUNTIFS($A$15:$A$255,A73,$L$15:$L$255,"&gt;"&amp;L73)+1</f>
        <v>2</v>
      </c>
    </row>
    <row r="74" customFormat="false" ht="22.35" hidden="false" customHeight="false" outlineLevel="0" collapsed="false">
      <c r="A74" s="11" t="s">
        <v>32</v>
      </c>
      <c r="B74" s="8" t="s">
        <v>321</v>
      </c>
      <c r="C74" s="11" t="s">
        <v>322</v>
      </c>
      <c r="D74" s="11" t="s">
        <v>323</v>
      </c>
      <c r="E74" s="11" t="s">
        <v>233</v>
      </c>
      <c r="F74" s="9" t="n">
        <v>1</v>
      </c>
      <c r="G74" s="9" t="n">
        <v>5</v>
      </c>
      <c r="H74" s="9" t="n">
        <v>1</v>
      </c>
      <c r="I74" s="9" t="n">
        <v>5</v>
      </c>
      <c r="J74" s="9" t="n">
        <v>5</v>
      </c>
      <c r="K74" s="15" t="n">
        <v>0</v>
      </c>
      <c r="L74" s="16" t="n">
        <f aca="false">ROUND(SUMPRODUCT(F74:J74,TRANSPOSE($B$6:$B$10))/$B$11+K74,2)</f>
        <v>3</v>
      </c>
      <c r="M74" s="9" t="n">
        <f aca="false">COUNTIFS($A$15:$A$255,A74,$L$15:$L$255,"&gt;"&amp;L74)+1</f>
        <v>23</v>
      </c>
    </row>
    <row r="75" customFormat="false" ht="53.7" hidden="false" customHeight="false" outlineLevel="0" collapsed="false">
      <c r="A75" s="11" t="s">
        <v>32</v>
      </c>
      <c r="B75" s="8" t="s">
        <v>324</v>
      </c>
      <c r="C75" s="11" t="s">
        <v>325</v>
      </c>
      <c r="D75" s="11" t="s">
        <v>326</v>
      </c>
      <c r="E75" s="11" t="s">
        <v>233</v>
      </c>
      <c r="F75" s="9" t="n">
        <v>1</v>
      </c>
      <c r="G75" s="9" t="n">
        <v>5</v>
      </c>
      <c r="H75" s="9" t="n">
        <v>1</v>
      </c>
      <c r="I75" s="9" t="n">
        <v>3</v>
      </c>
      <c r="J75" s="9" t="n">
        <v>5</v>
      </c>
      <c r="K75" s="15" t="n">
        <v>0</v>
      </c>
      <c r="L75" s="16" t="n">
        <f aca="false">ROUND(SUMPRODUCT(F75:J75,TRANSPOSE($B$6:$B$10))/$B$11+K75,2)</f>
        <v>2.7</v>
      </c>
      <c r="M75" s="9" t="n">
        <f aca="false">COUNTIFS($A$15:$A$255,A75,$L$15:$L$255,"&gt;"&amp;L75)+1</f>
        <v>29</v>
      </c>
    </row>
    <row r="76" customFormat="false" ht="74.6" hidden="false" customHeight="false" outlineLevel="0" collapsed="false">
      <c r="A76" s="11" t="s">
        <v>32</v>
      </c>
      <c r="B76" s="8" t="s">
        <v>327</v>
      </c>
      <c r="C76" s="11" t="s">
        <v>328</v>
      </c>
      <c r="D76" s="11" t="s">
        <v>329</v>
      </c>
      <c r="E76" s="11" t="s">
        <v>181</v>
      </c>
      <c r="F76" s="9" t="n">
        <v>5</v>
      </c>
      <c r="G76" s="9" t="n">
        <v>4</v>
      </c>
      <c r="H76" s="9" t="n">
        <v>1</v>
      </c>
      <c r="I76" s="9" t="n">
        <v>1</v>
      </c>
      <c r="J76" s="9" t="n">
        <v>3</v>
      </c>
      <c r="K76" s="15" t="n">
        <v>0</v>
      </c>
      <c r="L76" s="16" t="n">
        <f aca="false">ROUND(SUMPRODUCT(F76:J76,TRANSPOSE($B$6:$B$10))/$B$11+K76,2)</f>
        <v>3.1</v>
      </c>
      <c r="M76" s="9" t="n">
        <f aca="false">COUNTIFS($A$15:$A$255,A76,$L$15:$L$255,"&gt;"&amp;L76)+1</f>
        <v>20</v>
      </c>
    </row>
    <row r="77" customFormat="false" ht="32.8" hidden="false" customHeight="false" outlineLevel="0" collapsed="false">
      <c r="A77" s="11" t="s">
        <v>32</v>
      </c>
      <c r="B77" s="8" t="s">
        <v>330</v>
      </c>
      <c r="C77" s="11" t="s">
        <v>331</v>
      </c>
      <c r="D77" s="11" t="s">
        <v>323</v>
      </c>
      <c r="E77" s="11" t="s">
        <v>233</v>
      </c>
      <c r="F77" s="9" t="n">
        <v>1</v>
      </c>
      <c r="G77" s="9" t="n">
        <v>5</v>
      </c>
      <c r="H77" s="9" t="n">
        <v>1</v>
      </c>
      <c r="I77" s="9" t="n">
        <v>5</v>
      </c>
      <c r="J77" s="9" t="n">
        <v>5</v>
      </c>
      <c r="K77" s="15" t="n">
        <v>0</v>
      </c>
      <c r="L77" s="16" t="n">
        <f aca="false">ROUND(SUMPRODUCT(F77:J77,TRANSPOSE($B$6:$B$10))/$B$11+K77,2)</f>
        <v>3</v>
      </c>
      <c r="M77" s="9" t="n">
        <f aca="false">COUNTIFS($A$15:$A$255,A77,$L$15:$L$255,"&gt;"&amp;L77)+1</f>
        <v>23</v>
      </c>
    </row>
    <row r="78" customFormat="false" ht="32.8" hidden="false" customHeight="false" outlineLevel="0" collapsed="false">
      <c r="A78" s="11" t="s">
        <v>32</v>
      </c>
      <c r="B78" s="8" t="s">
        <v>332</v>
      </c>
      <c r="C78" s="11" t="s">
        <v>333</v>
      </c>
      <c r="D78" s="11" t="s">
        <v>323</v>
      </c>
      <c r="E78" s="11" t="s">
        <v>233</v>
      </c>
      <c r="F78" s="9" t="n">
        <v>1</v>
      </c>
      <c r="G78" s="9" t="n">
        <v>5</v>
      </c>
      <c r="H78" s="9" t="n">
        <v>1</v>
      </c>
      <c r="I78" s="9" t="n">
        <v>5</v>
      </c>
      <c r="J78" s="9" t="n">
        <v>5</v>
      </c>
      <c r="K78" s="15" t="n">
        <v>0</v>
      </c>
      <c r="L78" s="16" t="n">
        <f aca="false">ROUND(SUMPRODUCT(F78:J78,TRANSPOSE($B$6:$B$10))/$B$11+K78,2)</f>
        <v>3</v>
      </c>
      <c r="M78" s="9" t="n">
        <f aca="false">COUNTIFS($A$15:$A$255,A78,$L$15:$L$255,"&gt;"&amp;L78)+1</f>
        <v>23</v>
      </c>
    </row>
    <row r="79" customFormat="false" ht="53.7" hidden="false" customHeight="false" outlineLevel="0" collapsed="false">
      <c r="A79" s="11" t="s">
        <v>32</v>
      </c>
      <c r="B79" s="8" t="s">
        <v>334</v>
      </c>
      <c r="C79" s="11" t="s">
        <v>335</v>
      </c>
      <c r="D79" s="11" t="s">
        <v>336</v>
      </c>
      <c r="E79" s="11" t="s">
        <v>181</v>
      </c>
      <c r="F79" s="9" t="n">
        <v>5</v>
      </c>
      <c r="G79" s="9" t="n">
        <v>4</v>
      </c>
      <c r="H79" s="9" t="n">
        <v>1</v>
      </c>
      <c r="I79" s="9" t="n">
        <v>1</v>
      </c>
      <c r="J79" s="9" t="n">
        <v>3</v>
      </c>
      <c r="K79" s="15" t="n">
        <v>0</v>
      </c>
      <c r="L79" s="16" t="n">
        <f aca="false">ROUND(SUMPRODUCT(F79:J79,TRANSPOSE($B$6:$B$10))/$B$11+K79,2)</f>
        <v>3.1</v>
      </c>
      <c r="M79" s="9" t="n">
        <f aca="false">COUNTIFS($A$15:$A$255,A79,$L$15:$L$255,"&gt;"&amp;L79)+1</f>
        <v>20</v>
      </c>
    </row>
    <row r="80" customFormat="false" ht="43.25" hidden="false" customHeight="false" outlineLevel="0" collapsed="false">
      <c r="A80" s="11" t="s">
        <v>32</v>
      </c>
      <c r="B80" s="8" t="s">
        <v>337</v>
      </c>
      <c r="C80" s="11" t="s">
        <v>338</v>
      </c>
      <c r="D80" s="11" t="s">
        <v>339</v>
      </c>
      <c r="E80" s="11" t="s">
        <v>340</v>
      </c>
      <c r="F80" s="9" t="n">
        <v>5</v>
      </c>
      <c r="G80" s="9" t="n">
        <v>5</v>
      </c>
      <c r="H80" s="9" t="n">
        <v>1</v>
      </c>
      <c r="I80" s="9" t="n">
        <v>5</v>
      </c>
      <c r="J80" s="9" t="n">
        <v>5</v>
      </c>
      <c r="K80" s="15" t="n">
        <v>0</v>
      </c>
      <c r="L80" s="16" t="n">
        <f aca="false">ROUND(SUMPRODUCT(F80:J80,TRANSPOSE($B$6:$B$10))/$B$11+K80,2)</f>
        <v>4.2</v>
      </c>
      <c r="M80" s="9" t="n">
        <f aca="false">COUNTIFS($A$15:$A$255,A80,$L$15:$L$255,"&gt;"&amp;L80)+1</f>
        <v>2</v>
      </c>
    </row>
    <row r="81" customFormat="false" ht="43.25" hidden="false" customHeight="false" outlineLevel="0" collapsed="false">
      <c r="A81" s="11" t="s">
        <v>34</v>
      </c>
      <c r="B81" s="8" t="s">
        <v>341</v>
      </c>
      <c r="C81" s="11" t="s">
        <v>178</v>
      </c>
      <c r="D81" s="11" t="s">
        <v>342</v>
      </c>
      <c r="E81" s="11" t="s">
        <v>343</v>
      </c>
      <c r="F81" s="9" t="n">
        <v>5</v>
      </c>
      <c r="G81" s="9" t="n">
        <v>5</v>
      </c>
      <c r="H81" s="9" t="n">
        <v>1</v>
      </c>
      <c r="I81" s="9" t="n">
        <v>5</v>
      </c>
      <c r="J81" s="9" t="n">
        <v>2</v>
      </c>
      <c r="K81" s="15" t="n">
        <v>0</v>
      </c>
      <c r="L81" s="16" t="n">
        <f aca="false">ROUND(SUMPRODUCT(F81:J81,TRANSPOSE($B$6:$B$10))/$B$11+K81,2)</f>
        <v>3.75</v>
      </c>
      <c r="M81" s="9" t="n">
        <f aca="false">COUNTIFS($A$15:$A$255,A81,$L$15:$L$255,"&gt;"&amp;L81)+1</f>
        <v>5</v>
      </c>
    </row>
    <row r="82" customFormat="false" ht="32.8" hidden="false" customHeight="false" outlineLevel="0" collapsed="false">
      <c r="A82" s="11" t="s">
        <v>34</v>
      </c>
      <c r="B82" s="8" t="s">
        <v>344</v>
      </c>
      <c r="C82" s="11" t="s">
        <v>185</v>
      </c>
      <c r="D82" s="11" t="s">
        <v>183</v>
      </c>
      <c r="E82" s="11" t="s">
        <v>345</v>
      </c>
      <c r="F82" s="9" t="n">
        <v>2</v>
      </c>
      <c r="G82" s="9" t="n">
        <v>2</v>
      </c>
      <c r="H82" s="9" t="n">
        <v>1</v>
      </c>
      <c r="I82" s="9" t="n">
        <v>1</v>
      </c>
      <c r="J82" s="9" t="n">
        <v>1</v>
      </c>
      <c r="K82" s="15" t="n">
        <v>0</v>
      </c>
      <c r="L82" s="16" t="n">
        <f aca="false">ROUND(SUMPRODUCT(F82:J82,TRANSPOSE($B$6:$B$10))/$B$11+K82,2)</f>
        <v>1.5</v>
      </c>
      <c r="M82" s="9" t="n">
        <f aca="false">COUNTIFS($A$15:$A$255,A82,$L$15:$L$255,"&gt;"&amp;L82)+1</f>
        <v>25</v>
      </c>
    </row>
    <row r="83" customFormat="false" ht="147.75" hidden="false" customHeight="false" outlineLevel="0" collapsed="false">
      <c r="A83" s="11" t="s">
        <v>34</v>
      </c>
      <c r="B83" s="8" t="s">
        <v>346</v>
      </c>
      <c r="C83" s="11" t="s">
        <v>347</v>
      </c>
      <c r="D83" s="11" t="s">
        <v>348</v>
      </c>
      <c r="E83" s="11" t="s">
        <v>349</v>
      </c>
      <c r="F83" s="9" t="n">
        <v>5</v>
      </c>
      <c r="G83" s="9" t="n">
        <v>4</v>
      </c>
      <c r="H83" s="9" t="n">
        <v>5</v>
      </c>
      <c r="I83" s="9" t="n">
        <v>1</v>
      </c>
      <c r="J83" s="9" t="n">
        <v>1</v>
      </c>
      <c r="K83" s="15" t="n">
        <v>0</v>
      </c>
      <c r="L83" s="16" t="n">
        <f aca="false">ROUND(SUMPRODUCT(F83:J83,TRANSPOSE($B$6:$B$10))/$B$11+K83,2)</f>
        <v>3.6</v>
      </c>
      <c r="M83" s="9" t="n">
        <f aca="false">COUNTIFS($A$15:$A$255,A83,$L$15:$L$255,"&gt;"&amp;L83)+1</f>
        <v>7</v>
      </c>
    </row>
    <row r="84" customFormat="false" ht="64.15" hidden="false" customHeight="false" outlineLevel="0" collapsed="false">
      <c r="A84" s="11" t="s">
        <v>34</v>
      </c>
      <c r="B84" s="8" t="s">
        <v>350</v>
      </c>
      <c r="C84" s="11" t="s">
        <v>269</v>
      </c>
      <c r="D84" s="11" t="s">
        <v>351</v>
      </c>
      <c r="E84" s="11" t="s">
        <v>352</v>
      </c>
      <c r="F84" s="9" t="n">
        <v>5</v>
      </c>
      <c r="G84" s="9" t="n">
        <v>4</v>
      </c>
      <c r="H84" s="9" t="n">
        <v>5</v>
      </c>
      <c r="I84" s="9" t="n">
        <v>1</v>
      </c>
      <c r="J84" s="9" t="n">
        <v>2</v>
      </c>
      <c r="K84" s="15" t="n">
        <v>0</v>
      </c>
      <c r="L84" s="16" t="n">
        <f aca="false">ROUND(SUMPRODUCT(F84:J84,TRANSPOSE($B$6:$B$10))/$B$11+K84,2)</f>
        <v>3.75</v>
      </c>
      <c r="M84" s="9" t="n">
        <f aca="false">COUNTIFS($A$15:$A$255,A84,$L$15:$L$255,"&gt;"&amp;L84)+1</f>
        <v>5</v>
      </c>
    </row>
    <row r="85" customFormat="false" ht="22.35" hidden="false" customHeight="false" outlineLevel="0" collapsed="false">
      <c r="A85" s="11" t="s">
        <v>34</v>
      </c>
      <c r="B85" s="8" t="s">
        <v>353</v>
      </c>
      <c r="C85" s="11" t="s">
        <v>354</v>
      </c>
      <c r="D85" s="11" t="s">
        <v>183</v>
      </c>
      <c r="E85" s="11" t="s">
        <v>355</v>
      </c>
      <c r="F85" s="9" t="n">
        <v>1</v>
      </c>
      <c r="G85" s="9" t="n">
        <v>4</v>
      </c>
      <c r="H85" s="9" t="n">
        <v>1</v>
      </c>
      <c r="I85" s="9" t="n">
        <v>1</v>
      </c>
      <c r="J85" s="9" t="n">
        <v>1</v>
      </c>
      <c r="K85" s="15" t="n">
        <v>0</v>
      </c>
      <c r="L85" s="16" t="n">
        <f aca="false">ROUND(SUMPRODUCT(F85:J85,TRANSPOSE($B$6:$B$10))/$B$11+K85,2)</f>
        <v>1.6</v>
      </c>
      <c r="M85" s="9" t="n">
        <f aca="false">COUNTIFS($A$15:$A$255,A85,$L$15:$L$255,"&gt;"&amp;L85)+1</f>
        <v>23</v>
      </c>
    </row>
    <row r="86" customFormat="false" ht="64.15" hidden="false" customHeight="false" outlineLevel="0" collapsed="false">
      <c r="A86" s="11" t="s">
        <v>34</v>
      </c>
      <c r="B86" s="8" t="s">
        <v>356</v>
      </c>
      <c r="C86" s="11" t="s">
        <v>271</v>
      </c>
      <c r="D86" s="11" t="s">
        <v>183</v>
      </c>
      <c r="E86" s="11" t="s">
        <v>357</v>
      </c>
      <c r="F86" s="9" t="n">
        <v>5</v>
      </c>
      <c r="G86" s="9" t="n">
        <v>4</v>
      </c>
      <c r="H86" s="9" t="n">
        <v>2</v>
      </c>
      <c r="I86" s="9" t="n">
        <v>1</v>
      </c>
      <c r="J86" s="9" t="n">
        <v>1</v>
      </c>
      <c r="K86" s="15" t="n">
        <v>0</v>
      </c>
      <c r="L86" s="16" t="n">
        <f aca="false">ROUND(SUMPRODUCT(F86:J86,TRANSPOSE($B$6:$B$10))/$B$11+K86,2)</f>
        <v>3</v>
      </c>
      <c r="M86" s="9" t="n">
        <f aca="false">COUNTIFS($A$15:$A$255,A86,$L$15:$L$255,"&gt;"&amp;L86)+1</f>
        <v>13</v>
      </c>
    </row>
    <row r="87" customFormat="false" ht="43.25" hidden="false" customHeight="false" outlineLevel="0" collapsed="false">
      <c r="A87" s="11" t="s">
        <v>34</v>
      </c>
      <c r="B87" s="8" t="s">
        <v>358</v>
      </c>
      <c r="C87" s="11" t="s">
        <v>359</v>
      </c>
      <c r="D87" s="11" t="s">
        <v>183</v>
      </c>
      <c r="E87" s="11" t="s">
        <v>360</v>
      </c>
      <c r="F87" s="9" t="n">
        <v>5</v>
      </c>
      <c r="G87" s="9" t="n">
        <v>2</v>
      </c>
      <c r="H87" s="9" t="n">
        <v>3</v>
      </c>
      <c r="I87" s="9" t="n">
        <v>1</v>
      </c>
      <c r="J87" s="9" t="n">
        <v>1</v>
      </c>
      <c r="K87" s="15" t="n">
        <v>0</v>
      </c>
      <c r="L87" s="16" t="n">
        <f aca="false">ROUND(SUMPRODUCT(F87:J87,TRANSPOSE($B$6:$B$10))/$B$11+K87,2)</f>
        <v>2.8</v>
      </c>
      <c r="M87" s="9" t="n">
        <f aca="false">COUNTIFS($A$15:$A$255,A87,$L$15:$L$255,"&gt;"&amp;L87)+1</f>
        <v>14</v>
      </c>
    </row>
    <row r="88" customFormat="false" ht="43.25" hidden="false" customHeight="false" outlineLevel="0" collapsed="false">
      <c r="A88" s="11" t="s">
        <v>34</v>
      </c>
      <c r="B88" s="8" t="s">
        <v>361</v>
      </c>
      <c r="C88" s="11" t="s">
        <v>89</v>
      </c>
      <c r="D88" s="11" t="s">
        <v>362</v>
      </c>
      <c r="E88" s="11" t="s">
        <v>363</v>
      </c>
      <c r="F88" s="9" t="n">
        <v>5</v>
      </c>
      <c r="G88" s="9" t="n">
        <v>4</v>
      </c>
      <c r="H88" s="9" t="n">
        <v>5</v>
      </c>
      <c r="I88" s="9" t="n">
        <v>3</v>
      </c>
      <c r="J88" s="9" t="n">
        <v>2</v>
      </c>
      <c r="K88" s="15" t="n">
        <v>0</v>
      </c>
      <c r="L88" s="16" t="n">
        <f aca="false">ROUND(SUMPRODUCT(F88:J88,TRANSPOSE($B$6:$B$10))/$B$11+K88,2)</f>
        <v>4.05</v>
      </c>
      <c r="M88" s="9" t="n">
        <f aca="false">COUNTIFS($A$15:$A$255,A88,$L$15:$L$255,"&gt;"&amp;L88)+1</f>
        <v>1</v>
      </c>
    </row>
    <row r="89" customFormat="false" ht="105.95" hidden="false" customHeight="false" outlineLevel="0" collapsed="false">
      <c r="A89" s="11" t="s">
        <v>34</v>
      </c>
      <c r="B89" s="8" t="s">
        <v>364</v>
      </c>
      <c r="C89" s="11" t="s">
        <v>202</v>
      </c>
      <c r="D89" s="11" t="s">
        <v>365</v>
      </c>
      <c r="E89" s="11" t="s">
        <v>366</v>
      </c>
      <c r="F89" s="9" t="n">
        <v>5</v>
      </c>
      <c r="G89" s="9" t="n">
        <v>4</v>
      </c>
      <c r="H89" s="9" t="n">
        <v>1</v>
      </c>
      <c r="I89" s="9" t="n">
        <v>5</v>
      </c>
      <c r="J89" s="9" t="n">
        <v>2</v>
      </c>
      <c r="K89" s="15" t="n">
        <v>0</v>
      </c>
      <c r="L89" s="16" t="n">
        <f aca="false">ROUND(SUMPRODUCT(F89:J89,TRANSPOSE($B$6:$B$10))/$B$11+K89,2)</f>
        <v>3.55</v>
      </c>
      <c r="M89" s="9" t="n">
        <f aca="false">COUNTIFS($A$15:$A$255,A89,$L$15:$L$255,"&gt;"&amp;L89)+1</f>
        <v>9</v>
      </c>
    </row>
    <row r="90" customFormat="false" ht="137.3" hidden="false" customHeight="false" outlineLevel="0" collapsed="false">
      <c r="A90" s="11" t="s">
        <v>34</v>
      </c>
      <c r="B90" s="8" t="s">
        <v>367</v>
      </c>
      <c r="C90" s="11" t="s">
        <v>283</v>
      </c>
      <c r="D90" s="11" t="s">
        <v>368</v>
      </c>
      <c r="E90" s="11" t="s">
        <v>369</v>
      </c>
      <c r="F90" s="9" t="n">
        <v>5</v>
      </c>
      <c r="G90" s="9" t="n">
        <v>4</v>
      </c>
      <c r="H90" s="9" t="n">
        <v>2</v>
      </c>
      <c r="I90" s="9" t="n">
        <v>1</v>
      </c>
      <c r="J90" s="9" t="n">
        <v>2</v>
      </c>
      <c r="K90" s="15" t="n">
        <v>0</v>
      </c>
      <c r="L90" s="16" t="n">
        <f aca="false">ROUND(SUMPRODUCT(F90:J90,TRANSPOSE($B$6:$B$10))/$B$11+K90,2)</f>
        <v>3.15</v>
      </c>
      <c r="M90" s="9" t="n">
        <f aca="false">COUNTIFS($A$15:$A$255,A90,$L$15:$L$255,"&gt;"&amp;L90)+1</f>
        <v>11</v>
      </c>
    </row>
    <row r="91" customFormat="false" ht="22.35" hidden="false" customHeight="false" outlineLevel="0" collapsed="false">
      <c r="A91" s="11" t="s">
        <v>34</v>
      </c>
      <c r="B91" s="8" t="s">
        <v>370</v>
      </c>
      <c r="C91" s="11" t="s">
        <v>371</v>
      </c>
      <c r="D91" s="11" t="s">
        <v>183</v>
      </c>
      <c r="E91" s="11" t="s">
        <v>233</v>
      </c>
      <c r="F91" s="9" t="n">
        <v>1</v>
      </c>
      <c r="G91" s="9" t="n">
        <v>4</v>
      </c>
      <c r="H91" s="9" t="n">
        <v>3</v>
      </c>
      <c r="I91" s="9" t="n">
        <v>1</v>
      </c>
      <c r="J91" s="9" t="n">
        <v>1</v>
      </c>
      <c r="K91" s="15" t="n">
        <v>0</v>
      </c>
      <c r="L91" s="16" t="n">
        <f aca="false">ROUND(SUMPRODUCT(F91:J91,TRANSPOSE($B$6:$B$10))/$B$11+K91,2)</f>
        <v>2</v>
      </c>
      <c r="M91" s="9" t="n">
        <f aca="false">COUNTIFS($A$15:$A$255,A91,$L$15:$L$255,"&gt;"&amp;L91)+1</f>
        <v>22</v>
      </c>
    </row>
    <row r="92" customFormat="false" ht="43.25" hidden="false" customHeight="false" outlineLevel="0" collapsed="false">
      <c r="A92" s="11" t="s">
        <v>34</v>
      </c>
      <c r="B92" s="8" t="s">
        <v>372</v>
      </c>
      <c r="C92" s="11" t="s">
        <v>373</v>
      </c>
      <c r="D92" s="11" t="s">
        <v>374</v>
      </c>
      <c r="E92" s="11" t="s">
        <v>375</v>
      </c>
      <c r="F92" s="9" t="n">
        <v>5</v>
      </c>
      <c r="G92" s="9" t="n">
        <v>2</v>
      </c>
      <c r="H92" s="9" t="n">
        <v>1</v>
      </c>
      <c r="I92" s="9" t="n">
        <v>2</v>
      </c>
      <c r="J92" s="9" t="n">
        <v>2</v>
      </c>
      <c r="K92" s="15" t="n">
        <v>0</v>
      </c>
      <c r="L92" s="16" t="n">
        <f aca="false">ROUND(SUMPRODUCT(F92:J92,TRANSPOSE($B$6:$B$10))/$B$11+K92,2)</f>
        <v>2.7</v>
      </c>
      <c r="M92" s="9" t="n">
        <f aca="false">COUNTIFS($A$15:$A$255,A92,$L$15:$L$255,"&gt;"&amp;L92)+1</f>
        <v>18</v>
      </c>
    </row>
    <row r="93" customFormat="false" ht="32.8" hidden="false" customHeight="false" outlineLevel="0" collapsed="false">
      <c r="A93" s="11" t="s">
        <v>34</v>
      </c>
      <c r="B93" s="8" t="s">
        <v>376</v>
      </c>
      <c r="C93" s="11" t="s">
        <v>377</v>
      </c>
      <c r="D93" s="11" t="s">
        <v>183</v>
      </c>
      <c r="E93" s="11" t="s">
        <v>378</v>
      </c>
      <c r="F93" s="9" t="n">
        <v>5</v>
      </c>
      <c r="G93" s="9" t="n">
        <v>4</v>
      </c>
      <c r="H93" s="9" t="n">
        <v>1</v>
      </c>
      <c r="I93" s="9" t="n">
        <v>1</v>
      </c>
      <c r="J93" s="9" t="n">
        <v>1</v>
      </c>
      <c r="K93" s="15" t="n">
        <v>0</v>
      </c>
      <c r="L93" s="16" t="n">
        <f aca="false">ROUND(SUMPRODUCT(F93:J93,TRANSPOSE($B$6:$B$10))/$B$11+K93,2)</f>
        <v>2.8</v>
      </c>
      <c r="M93" s="9" t="n">
        <f aca="false">COUNTIFS($A$15:$A$255,A93,$L$15:$L$255,"&gt;"&amp;L93)+1</f>
        <v>14</v>
      </c>
    </row>
    <row r="94" customFormat="false" ht="22.35" hidden="false" customHeight="false" outlineLevel="0" collapsed="false">
      <c r="A94" s="11" t="s">
        <v>34</v>
      </c>
      <c r="B94" s="8" t="s">
        <v>379</v>
      </c>
      <c r="C94" s="11" t="s">
        <v>380</v>
      </c>
      <c r="D94" s="11" t="s">
        <v>183</v>
      </c>
      <c r="E94" s="11" t="s">
        <v>181</v>
      </c>
      <c r="F94" s="9" t="n">
        <v>5</v>
      </c>
      <c r="G94" s="9" t="n">
        <v>2</v>
      </c>
      <c r="H94" s="9" t="n">
        <v>1</v>
      </c>
      <c r="I94" s="9" t="n">
        <v>1</v>
      </c>
      <c r="J94" s="9" t="n">
        <v>1</v>
      </c>
      <c r="K94" s="15" t="n">
        <v>0</v>
      </c>
      <c r="L94" s="16" t="n">
        <f aca="false">ROUND(SUMPRODUCT(F94:J94,TRANSPOSE($B$6:$B$10))/$B$11+K94,2)</f>
        <v>2.4</v>
      </c>
      <c r="M94" s="9" t="n">
        <f aca="false">COUNTIFS($A$15:$A$255,A94,$L$15:$L$255,"&gt;"&amp;L94)+1</f>
        <v>19</v>
      </c>
    </row>
    <row r="95" customFormat="false" ht="126.85" hidden="false" customHeight="false" outlineLevel="0" collapsed="false">
      <c r="A95" s="11" t="s">
        <v>34</v>
      </c>
      <c r="B95" s="8" t="s">
        <v>381</v>
      </c>
      <c r="C95" s="11" t="s">
        <v>382</v>
      </c>
      <c r="D95" s="11" t="s">
        <v>383</v>
      </c>
      <c r="E95" s="11" t="s">
        <v>384</v>
      </c>
      <c r="F95" s="9" t="n">
        <v>5</v>
      </c>
      <c r="G95" s="9" t="n">
        <v>5</v>
      </c>
      <c r="H95" s="9" t="n">
        <v>5</v>
      </c>
      <c r="I95" s="9" t="n">
        <v>1</v>
      </c>
      <c r="J95" s="9" t="n">
        <v>1</v>
      </c>
      <c r="K95" s="15" t="n">
        <v>0</v>
      </c>
      <c r="L95" s="16" t="n">
        <f aca="false">ROUND(SUMPRODUCT(F95:J95,TRANSPOSE($B$6:$B$10))/$B$11+K95,2)</f>
        <v>3.8</v>
      </c>
      <c r="M95" s="9" t="n">
        <f aca="false">COUNTIFS($A$15:$A$255,A95,$L$15:$L$255,"&gt;"&amp;L95)+1</f>
        <v>4</v>
      </c>
    </row>
    <row r="96" customFormat="false" ht="53.7" hidden="false" customHeight="false" outlineLevel="0" collapsed="false">
      <c r="A96" s="11" t="s">
        <v>34</v>
      </c>
      <c r="B96" s="8" t="s">
        <v>385</v>
      </c>
      <c r="C96" s="11" t="s">
        <v>304</v>
      </c>
      <c r="D96" s="11" t="s">
        <v>386</v>
      </c>
      <c r="E96" s="11" t="s">
        <v>387</v>
      </c>
      <c r="F96" s="9" t="n">
        <v>5</v>
      </c>
      <c r="G96" s="9" t="n">
        <v>4</v>
      </c>
      <c r="H96" s="9" t="n">
        <v>1</v>
      </c>
      <c r="I96" s="9" t="n">
        <v>5</v>
      </c>
      <c r="J96" s="9" t="n">
        <v>2</v>
      </c>
      <c r="K96" s="15" t="n">
        <v>0</v>
      </c>
      <c r="L96" s="16" t="n">
        <f aca="false">ROUND(SUMPRODUCT(F96:J96,TRANSPOSE($B$6:$B$10))/$B$11+K96,2)</f>
        <v>3.55</v>
      </c>
      <c r="M96" s="9" t="n">
        <f aca="false">COUNTIFS($A$15:$A$255,A96,$L$15:$L$255,"&gt;"&amp;L96)+1</f>
        <v>9</v>
      </c>
    </row>
    <row r="97" customFormat="false" ht="22.35" hidden="false" customHeight="false" outlineLevel="0" collapsed="false">
      <c r="A97" s="11" t="s">
        <v>34</v>
      </c>
      <c r="B97" s="8" t="s">
        <v>388</v>
      </c>
      <c r="C97" s="11" t="s">
        <v>225</v>
      </c>
      <c r="D97" s="11" t="s">
        <v>183</v>
      </c>
      <c r="E97" s="11" t="s">
        <v>389</v>
      </c>
      <c r="F97" s="9" t="n">
        <v>5</v>
      </c>
      <c r="G97" s="9" t="n">
        <v>4</v>
      </c>
      <c r="H97" s="9" t="n">
        <v>2</v>
      </c>
      <c r="I97" s="9" t="n">
        <v>2</v>
      </c>
      <c r="J97" s="9" t="n">
        <v>1</v>
      </c>
      <c r="K97" s="15" t="n">
        <v>0</v>
      </c>
      <c r="L97" s="16" t="n">
        <f aca="false">ROUND(SUMPRODUCT(F97:J97,TRANSPOSE($B$6:$B$10))/$B$11+K97,2)</f>
        <v>3.15</v>
      </c>
      <c r="M97" s="9" t="n">
        <f aca="false">COUNTIFS($A$15:$A$255,A97,$L$15:$L$255,"&gt;"&amp;L97)+1</f>
        <v>11</v>
      </c>
    </row>
    <row r="98" customFormat="false" ht="22.35" hidden="false" customHeight="false" outlineLevel="0" collapsed="false">
      <c r="A98" s="11" t="s">
        <v>34</v>
      </c>
      <c r="B98" s="8" t="s">
        <v>390</v>
      </c>
      <c r="C98" s="11" t="s">
        <v>391</v>
      </c>
      <c r="D98" s="11" t="s">
        <v>183</v>
      </c>
      <c r="E98" s="11" t="s">
        <v>233</v>
      </c>
      <c r="F98" s="9" t="n">
        <v>1</v>
      </c>
      <c r="G98" s="9" t="n">
        <v>4</v>
      </c>
      <c r="H98" s="9" t="n">
        <v>1</v>
      </c>
      <c r="I98" s="9" t="n">
        <v>1</v>
      </c>
      <c r="J98" s="9" t="n">
        <v>1</v>
      </c>
      <c r="K98" s="15" t="n">
        <v>0</v>
      </c>
      <c r="L98" s="16" t="n">
        <f aca="false">ROUND(SUMPRODUCT(F98:J98,TRANSPOSE($B$6:$B$10))/$B$11+K98,2)</f>
        <v>1.6</v>
      </c>
      <c r="M98" s="9" t="n">
        <f aca="false">COUNTIFS($A$15:$A$255,A98,$L$15:$L$255,"&gt;"&amp;L98)+1</f>
        <v>23</v>
      </c>
    </row>
    <row r="99" customFormat="false" ht="105.95" hidden="false" customHeight="false" outlineLevel="0" collapsed="false">
      <c r="A99" s="11" t="s">
        <v>34</v>
      </c>
      <c r="B99" s="8" t="s">
        <v>392</v>
      </c>
      <c r="C99" s="11" t="s">
        <v>314</v>
      </c>
      <c r="D99" s="11" t="s">
        <v>393</v>
      </c>
      <c r="E99" s="11" t="s">
        <v>394</v>
      </c>
      <c r="F99" s="9" t="n">
        <v>3</v>
      </c>
      <c r="G99" s="9" t="n">
        <v>4</v>
      </c>
      <c r="H99" s="9" t="n">
        <v>2</v>
      </c>
      <c r="I99" s="9" t="n">
        <v>1</v>
      </c>
      <c r="J99" s="9" t="n">
        <v>1</v>
      </c>
      <c r="K99" s="15" t="n">
        <v>0</v>
      </c>
      <c r="L99" s="16" t="n">
        <f aca="false">ROUND(SUMPRODUCT(F99:J99,TRANSPOSE($B$6:$B$10))/$B$11+K99,2)</f>
        <v>2.4</v>
      </c>
      <c r="M99" s="9" t="n">
        <f aca="false">COUNTIFS($A$15:$A$255,A99,$L$15:$L$255,"&gt;"&amp;L99)+1</f>
        <v>19</v>
      </c>
    </row>
    <row r="100" customFormat="false" ht="43.25" hidden="false" customHeight="false" outlineLevel="0" collapsed="false">
      <c r="A100" s="11" t="s">
        <v>34</v>
      </c>
      <c r="B100" s="8" t="s">
        <v>395</v>
      </c>
      <c r="C100" s="11" t="s">
        <v>396</v>
      </c>
      <c r="D100" s="11" t="s">
        <v>397</v>
      </c>
      <c r="E100" s="11" t="s">
        <v>398</v>
      </c>
      <c r="F100" s="9" t="n">
        <v>5</v>
      </c>
      <c r="G100" s="9" t="n">
        <v>4</v>
      </c>
      <c r="H100" s="9" t="n">
        <v>1</v>
      </c>
      <c r="I100" s="9" t="n">
        <v>5</v>
      </c>
      <c r="J100" s="9" t="n">
        <v>5</v>
      </c>
      <c r="K100" s="15" t="n">
        <v>0</v>
      </c>
      <c r="L100" s="16" t="n">
        <f aca="false">ROUND(SUMPRODUCT(F100:J100,TRANSPOSE($B$6:$B$10))/$B$11+K100,2)</f>
        <v>4</v>
      </c>
      <c r="M100" s="9" t="n">
        <f aca="false">COUNTIFS($A$15:$A$255,A100,$L$15:$L$255,"&gt;"&amp;L100)+1</f>
        <v>2</v>
      </c>
    </row>
    <row r="101" customFormat="false" ht="22.35" hidden="false" customHeight="false" outlineLevel="0" collapsed="false">
      <c r="A101" s="11" t="s">
        <v>34</v>
      </c>
      <c r="B101" s="8" t="s">
        <v>399</v>
      </c>
      <c r="C101" s="11" t="s">
        <v>400</v>
      </c>
      <c r="D101" s="11" t="s">
        <v>323</v>
      </c>
      <c r="E101" s="11" t="s">
        <v>233</v>
      </c>
      <c r="F101" s="9" t="n">
        <v>1</v>
      </c>
      <c r="G101" s="9" t="n">
        <v>4</v>
      </c>
      <c r="H101" s="9" t="n">
        <v>1</v>
      </c>
      <c r="I101" s="9" t="n">
        <v>5</v>
      </c>
      <c r="J101" s="9" t="n">
        <v>5</v>
      </c>
      <c r="K101" s="15" t="n">
        <v>0</v>
      </c>
      <c r="L101" s="16" t="n">
        <f aca="false">ROUND(SUMPRODUCT(F101:J101,TRANSPOSE($B$6:$B$10))/$B$11+K101,2)</f>
        <v>2.8</v>
      </c>
      <c r="M101" s="9" t="n">
        <f aca="false">COUNTIFS($A$15:$A$255,A101,$L$15:$L$255,"&gt;"&amp;L101)+1</f>
        <v>14</v>
      </c>
    </row>
    <row r="102" customFormat="false" ht="53.7" hidden="false" customHeight="false" outlineLevel="0" collapsed="false">
      <c r="A102" s="11" t="s">
        <v>34</v>
      </c>
      <c r="B102" s="8" t="s">
        <v>401</v>
      </c>
      <c r="C102" s="11" t="s">
        <v>89</v>
      </c>
      <c r="D102" s="11" t="s">
        <v>402</v>
      </c>
      <c r="E102" s="11" t="s">
        <v>181</v>
      </c>
      <c r="F102" s="9" t="n">
        <v>5</v>
      </c>
      <c r="G102" s="9" t="n">
        <v>4</v>
      </c>
      <c r="H102" s="9" t="n">
        <v>1</v>
      </c>
      <c r="I102" s="9" t="n">
        <v>5</v>
      </c>
      <c r="J102" s="9" t="n">
        <v>5</v>
      </c>
      <c r="K102" s="15" t="n">
        <v>0</v>
      </c>
      <c r="L102" s="16" t="n">
        <f aca="false">ROUND(SUMPRODUCT(F102:J102,TRANSPOSE($B$6:$B$10))/$B$11+K102,2)</f>
        <v>4</v>
      </c>
      <c r="M102" s="9" t="n">
        <f aca="false">COUNTIFS($A$15:$A$255,A102,$L$15:$L$255,"&gt;"&amp;L102)+1</f>
        <v>2</v>
      </c>
    </row>
    <row r="103" customFormat="false" ht="74.6" hidden="false" customHeight="false" outlineLevel="0" collapsed="false">
      <c r="A103" s="11" t="s">
        <v>34</v>
      </c>
      <c r="B103" s="8" t="s">
        <v>403</v>
      </c>
      <c r="C103" s="11" t="s">
        <v>318</v>
      </c>
      <c r="D103" s="11" t="s">
        <v>404</v>
      </c>
      <c r="E103" s="11" t="s">
        <v>405</v>
      </c>
      <c r="F103" s="9" t="n">
        <v>5</v>
      </c>
      <c r="G103" s="9" t="n">
        <v>5</v>
      </c>
      <c r="H103" s="9" t="n">
        <v>1</v>
      </c>
      <c r="I103" s="9" t="n">
        <v>3</v>
      </c>
      <c r="J103" s="9" t="n">
        <v>3</v>
      </c>
      <c r="K103" s="15" t="n">
        <v>0</v>
      </c>
      <c r="L103" s="16" t="n">
        <f aca="false">ROUND(SUMPRODUCT(F103:J103,TRANSPOSE($B$6:$B$10))/$B$11+K103,2)</f>
        <v>3.6</v>
      </c>
      <c r="M103" s="9" t="n">
        <f aca="false">COUNTIFS($A$15:$A$255,A103,$L$15:$L$255,"&gt;"&amp;L103)+1</f>
        <v>7</v>
      </c>
    </row>
    <row r="104" customFormat="false" ht="22.35" hidden="false" customHeight="false" outlineLevel="0" collapsed="false">
      <c r="A104" s="11" t="s">
        <v>34</v>
      </c>
      <c r="B104" s="8" t="s">
        <v>406</v>
      </c>
      <c r="C104" s="11" t="s">
        <v>407</v>
      </c>
      <c r="D104" s="11" t="s">
        <v>397</v>
      </c>
      <c r="E104" s="11" t="s">
        <v>233</v>
      </c>
      <c r="F104" s="9" t="n">
        <v>1</v>
      </c>
      <c r="G104" s="9" t="n">
        <v>4</v>
      </c>
      <c r="H104" s="9" t="n">
        <v>1</v>
      </c>
      <c r="I104" s="9" t="n">
        <v>5</v>
      </c>
      <c r="J104" s="9" t="n">
        <v>5</v>
      </c>
      <c r="K104" s="15" t="n">
        <v>0</v>
      </c>
      <c r="L104" s="16" t="n">
        <f aca="false">ROUND(SUMPRODUCT(F104:J104,TRANSPOSE($B$6:$B$10))/$B$11+K104,2)</f>
        <v>2.8</v>
      </c>
      <c r="M104" s="9" t="n">
        <f aca="false">COUNTIFS($A$15:$A$255,A104,$L$15:$L$255,"&gt;"&amp;L104)+1</f>
        <v>14</v>
      </c>
    </row>
    <row r="105" customFormat="false" ht="53.7" hidden="false" customHeight="false" outlineLevel="0" collapsed="false">
      <c r="A105" s="11" t="s">
        <v>34</v>
      </c>
      <c r="B105" s="8" t="s">
        <v>408</v>
      </c>
      <c r="C105" s="11" t="s">
        <v>409</v>
      </c>
      <c r="D105" s="11" t="s">
        <v>410</v>
      </c>
      <c r="E105" s="11" t="s">
        <v>411</v>
      </c>
      <c r="F105" s="9" t="n">
        <v>2</v>
      </c>
      <c r="G105" s="9" t="n">
        <v>4</v>
      </c>
      <c r="H105" s="9" t="n">
        <v>1</v>
      </c>
      <c r="I105" s="9" t="n">
        <v>1</v>
      </c>
      <c r="J105" s="9" t="n">
        <v>3</v>
      </c>
      <c r="K105" s="15" t="n">
        <v>0</v>
      </c>
      <c r="L105" s="16" t="n">
        <f aca="false">ROUND(SUMPRODUCT(F105:J105,TRANSPOSE($B$6:$B$10))/$B$11+K105,2)</f>
        <v>2.2</v>
      </c>
      <c r="M105" s="9" t="n">
        <f aca="false">COUNTIFS($A$15:$A$255,A105,$L$15:$L$255,"&gt;"&amp;L105)+1</f>
        <v>21</v>
      </c>
    </row>
    <row r="106" customFormat="false" ht="15" hidden="false" customHeight="false" outlineLevel="0" collapsed="false">
      <c r="A106" s="11" t="s">
        <v>36</v>
      </c>
      <c r="B106" s="8" t="s">
        <v>263</v>
      </c>
      <c r="C106" s="11" t="s">
        <v>412</v>
      </c>
      <c r="D106" s="11" t="s">
        <v>183</v>
      </c>
      <c r="E106" s="11" t="s">
        <v>413</v>
      </c>
      <c r="F106" s="9" t="n">
        <v>5</v>
      </c>
      <c r="G106" s="9" t="n">
        <v>2</v>
      </c>
      <c r="H106" s="9" t="n">
        <v>1</v>
      </c>
      <c r="I106" s="9" t="n">
        <v>1</v>
      </c>
      <c r="J106" s="9" t="n">
        <v>1</v>
      </c>
      <c r="K106" s="15" t="n">
        <v>0</v>
      </c>
      <c r="L106" s="16" t="n">
        <f aca="false">ROUND(SUMPRODUCT(F106:J106,TRANSPOSE($B$6:$B$10))/$B$11+K106,2)</f>
        <v>2.4</v>
      </c>
      <c r="M106" s="9" t="n">
        <f aca="false">COUNTIFS($A$15:$A$255,A106,$L$15:$L$255,"&gt;"&amp;L106)+1</f>
        <v>28</v>
      </c>
    </row>
    <row r="107" customFormat="false" ht="32.8" hidden="false" customHeight="false" outlineLevel="0" collapsed="false">
      <c r="A107" s="11" t="s">
        <v>36</v>
      </c>
      <c r="B107" s="8" t="s">
        <v>414</v>
      </c>
      <c r="C107" s="11" t="s">
        <v>325</v>
      </c>
      <c r="D107" s="11" t="s">
        <v>415</v>
      </c>
      <c r="E107" s="11" t="s">
        <v>181</v>
      </c>
      <c r="F107" s="9" t="n">
        <v>5</v>
      </c>
      <c r="G107" s="9" t="n">
        <v>5</v>
      </c>
      <c r="H107" s="9" t="n">
        <v>1</v>
      </c>
      <c r="I107" s="9" t="n">
        <v>2</v>
      </c>
      <c r="J107" s="9" t="n">
        <v>1</v>
      </c>
      <c r="K107" s="15" t="n">
        <v>0</v>
      </c>
      <c r="L107" s="16" t="n">
        <f aca="false">ROUND(SUMPRODUCT(F107:J107,TRANSPOSE($B$6:$B$10))/$B$11+K107,2)</f>
        <v>3.15</v>
      </c>
      <c r="M107" s="9" t="n">
        <f aca="false">COUNTIFS($A$15:$A$255,A107,$L$15:$L$255,"&gt;"&amp;L107)+1</f>
        <v>16</v>
      </c>
    </row>
    <row r="108" customFormat="false" ht="22.35" hidden="false" customHeight="false" outlineLevel="0" collapsed="false">
      <c r="A108" s="11" t="s">
        <v>36</v>
      </c>
      <c r="B108" s="8" t="s">
        <v>416</v>
      </c>
      <c r="C108" s="11" t="s">
        <v>417</v>
      </c>
      <c r="D108" s="11" t="s">
        <v>183</v>
      </c>
      <c r="E108" s="11" t="s">
        <v>181</v>
      </c>
      <c r="F108" s="9" t="n">
        <v>5</v>
      </c>
      <c r="G108" s="9" t="n">
        <v>4</v>
      </c>
      <c r="H108" s="9" t="n">
        <v>5</v>
      </c>
      <c r="I108" s="9" t="n">
        <v>2</v>
      </c>
      <c r="J108" s="9" t="n">
        <v>1</v>
      </c>
      <c r="K108" s="15" t="n">
        <v>0</v>
      </c>
      <c r="L108" s="16" t="n">
        <f aca="false">ROUND(SUMPRODUCT(F108:J108,TRANSPOSE($B$6:$B$10))/$B$11+K108,2)</f>
        <v>3.75</v>
      </c>
      <c r="M108" s="9" t="n">
        <f aca="false">COUNTIFS($A$15:$A$255,A108,$L$15:$L$255,"&gt;"&amp;L108)+1</f>
        <v>5</v>
      </c>
    </row>
    <row r="109" customFormat="false" ht="32.8" hidden="false" customHeight="false" outlineLevel="0" collapsed="false">
      <c r="A109" s="11" t="s">
        <v>36</v>
      </c>
      <c r="B109" s="8" t="s">
        <v>418</v>
      </c>
      <c r="C109" s="11" t="s">
        <v>269</v>
      </c>
      <c r="D109" s="11" t="s">
        <v>183</v>
      </c>
      <c r="E109" s="11" t="s">
        <v>181</v>
      </c>
      <c r="F109" s="9" t="n">
        <v>5</v>
      </c>
      <c r="G109" s="9" t="n">
        <v>4</v>
      </c>
      <c r="H109" s="9" t="n">
        <v>5</v>
      </c>
      <c r="I109" s="9" t="n">
        <v>2</v>
      </c>
      <c r="J109" s="9" t="n">
        <v>1</v>
      </c>
      <c r="K109" s="15" t="n">
        <v>0</v>
      </c>
      <c r="L109" s="16" t="n">
        <f aca="false">ROUND(SUMPRODUCT(F109:J109,TRANSPOSE($B$6:$B$10))/$B$11+K109,2)</f>
        <v>3.75</v>
      </c>
      <c r="M109" s="9" t="n">
        <f aca="false">COUNTIFS($A$15:$A$255,A109,$L$15:$L$255,"&gt;"&amp;L109)+1</f>
        <v>5</v>
      </c>
    </row>
    <row r="110" customFormat="false" ht="22.35" hidden="false" customHeight="false" outlineLevel="0" collapsed="false">
      <c r="A110" s="11" t="s">
        <v>36</v>
      </c>
      <c r="B110" s="8" t="s">
        <v>419</v>
      </c>
      <c r="C110" s="11" t="s">
        <v>420</v>
      </c>
      <c r="D110" s="11" t="s">
        <v>183</v>
      </c>
      <c r="E110" s="11" t="s">
        <v>181</v>
      </c>
      <c r="F110" s="9" t="n">
        <v>5</v>
      </c>
      <c r="G110" s="9" t="n">
        <v>2</v>
      </c>
      <c r="H110" s="9" t="n">
        <v>1</v>
      </c>
      <c r="I110" s="9" t="n">
        <v>1</v>
      </c>
      <c r="J110" s="9" t="n">
        <v>1</v>
      </c>
      <c r="K110" s="15" t="n">
        <v>0</v>
      </c>
      <c r="L110" s="16" t="n">
        <f aca="false">ROUND(SUMPRODUCT(F110:J110,TRANSPOSE($B$6:$B$10))/$B$11+K110,2)</f>
        <v>2.4</v>
      </c>
      <c r="M110" s="9" t="n">
        <f aca="false">COUNTIFS($A$15:$A$255,A110,$L$15:$L$255,"&gt;"&amp;L110)+1</f>
        <v>28</v>
      </c>
    </row>
    <row r="111" customFormat="false" ht="15" hidden="false" customHeight="false" outlineLevel="0" collapsed="false">
      <c r="A111" s="11" t="s">
        <v>36</v>
      </c>
      <c r="B111" s="8" t="s">
        <v>421</v>
      </c>
      <c r="C111" s="11" t="s">
        <v>422</v>
      </c>
      <c r="D111" s="11" t="s">
        <v>183</v>
      </c>
      <c r="E111" s="11" t="s">
        <v>181</v>
      </c>
      <c r="F111" s="9" t="n">
        <v>5</v>
      </c>
      <c r="G111" s="9" t="n">
        <v>4</v>
      </c>
      <c r="H111" s="9" t="n">
        <v>1</v>
      </c>
      <c r="I111" s="9" t="n">
        <v>1</v>
      </c>
      <c r="J111" s="9" t="n">
        <v>1</v>
      </c>
      <c r="K111" s="15" t="n">
        <v>0</v>
      </c>
      <c r="L111" s="16" t="n">
        <f aca="false">ROUND(SUMPRODUCT(F111:J111,TRANSPOSE($B$6:$B$10))/$B$11+K111,2)</f>
        <v>2.8</v>
      </c>
      <c r="M111" s="9" t="n">
        <f aca="false">COUNTIFS($A$15:$A$255,A111,$L$15:$L$255,"&gt;"&amp;L111)+1</f>
        <v>19</v>
      </c>
    </row>
    <row r="112" customFormat="false" ht="22.35" hidden="false" customHeight="false" outlineLevel="0" collapsed="false">
      <c r="A112" s="11" t="s">
        <v>36</v>
      </c>
      <c r="B112" s="8" t="s">
        <v>423</v>
      </c>
      <c r="C112" s="11" t="s">
        <v>86</v>
      </c>
      <c r="D112" s="11" t="s">
        <v>183</v>
      </c>
      <c r="E112" s="11" t="s">
        <v>181</v>
      </c>
      <c r="F112" s="9" t="n">
        <v>5</v>
      </c>
      <c r="G112" s="9" t="n">
        <v>4</v>
      </c>
      <c r="H112" s="9" t="n">
        <v>4</v>
      </c>
      <c r="I112" s="9" t="n">
        <v>1</v>
      </c>
      <c r="J112" s="9" t="n">
        <v>1</v>
      </c>
      <c r="K112" s="15" t="n">
        <v>0</v>
      </c>
      <c r="L112" s="16" t="n">
        <f aca="false">ROUND(SUMPRODUCT(F112:J112,TRANSPOSE($B$6:$B$10))/$B$11+K112,2)</f>
        <v>3.4</v>
      </c>
      <c r="M112" s="9" t="n">
        <f aca="false">COUNTIFS($A$15:$A$255,A112,$L$15:$L$255,"&gt;"&amp;L112)+1</f>
        <v>10</v>
      </c>
    </row>
    <row r="113" customFormat="false" ht="15" hidden="false" customHeight="false" outlineLevel="0" collapsed="false">
      <c r="A113" s="11" t="s">
        <v>36</v>
      </c>
      <c r="B113" s="8" t="s">
        <v>424</v>
      </c>
      <c r="C113" s="11" t="s">
        <v>425</v>
      </c>
      <c r="D113" s="11" t="s">
        <v>183</v>
      </c>
      <c r="E113" s="11" t="s">
        <v>181</v>
      </c>
      <c r="F113" s="9" t="n">
        <v>5</v>
      </c>
      <c r="G113" s="9" t="n">
        <v>2</v>
      </c>
      <c r="H113" s="9" t="n">
        <v>1</v>
      </c>
      <c r="I113" s="9" t="n">
        <v>1</v>
      </c>
      <c r="J113" s="9" t="n">
        <v>1</v>
      </c>
      <c r="K113" s="15" t="n">
        <v>0</v>
      </c>
      <c r="L113" s="16" t="n">
        <f aca="false">ROUND(SUMPRODUCT(F113:J113,TRANSPOSE($B$6:$B$10))/$B$11+K113,2)</f>
        <v>2.4</v>
      </c>
      <c r="M113" s="9" t="n">
        <f aca="false">COUNTIFS($A$15:$A$255,A113,$L$15:$L$255,"&gt;"&amp;L113)+1</f>
        <v>28</v>
      </c>
    </row>
    <row r="114" customFormat="false" ht="15" hidden="false" customHeight="false" outlineLevel="0" collapsed="false">
      <c r="A114" s="11" t="s">
        <v>36</v>
      </c>
      <c r="B114" s="8" t="s">
        <v>277</v>
      </c>
      <c r="C114" s="11" t="s">
        <v>426</v>
      </c>
      <c r="D114" s="11" t="s">
        <v>183</v>
      </c>
      <c r="E114" s="11" t="s">
        <v>279</v>
      </c>
      <c r="F114" s="9" t="n">
        <v>2</v>
      </c>
      <c r="G114" s="9" t="n">
        <v>4</v>
      </c>
      <c r="H114" s="9" t="n">
        <v>1</v>
      </c>
      <c r="I114" s="9" t="n">
        <v>2</v>
      </c>
      <c r="J114" s="9" t="n">
        <v>1</v>
      </c>
      <c r="K114" s="15" t="n">
        <v>0</v>
      </c>
      <c r="L114" s="16" t="n">
        <f aca="false">ROUND(SUMPRODUCT(F114:J114,TRANSPOSE($B$6:$B$10))/$B$11+K114,2)</f>
        <v>2.05</v>
      </c>
      <c r="M114" s="9" t="n">
        <f aca="false">COUNTIFS($A$15:$A$255,A114,$L$15:$L$255,"&gt;"&amp;L114)+1</f>
        <v>39</v>
      </c>
    </row>
    <row r="115" customFormat="false" ht="32.8" hidden="false" customHeight="false" outlineLevel="0" collapsed="false">
      <c r="A115" s="11" t="s">
        <v>36</v>
      </c>
      <c r="B115" s="8" t="s">
        <v>427</v>
      </c>
      <c r="C115" s="11" t="s">
        <v>202</v>
      </c>
      <c r="D115" s="11" t="s">
        <v>428</v>
      </c>
      <c r="E115" s="11" t="s">
        <v>233</v>
      </c>
      <c r="F115" s="9" t="n">
        <v>1</v>
      </c>
      <c r="G115" s="9" t="n">
        <v>2</v>
      </c>
      <c r="H115" s="9" t="n">
        <v>3</v>
      </c>
      <c r="I115" s="9" t="n">
        <v>5</v>
      </c>
      <c r="J115" s="9" t="n">
        <v>2</v>
      </c>
      <c r="K115" s="15" t="n">
        <v>0</v>
      </c>
      <c r="L115" s="16" t="n">
        <f aca="false">ROUND(SUMPRODUCT(F115:J115,TRANSPOSE($B$6:$B$10))/$B$11+K115,2)</f>
        <v>2.35</v>
      </c>
      <c r="M115" s="9" t="n">
        <f aca="false">COUNTIFS($A$15:$A$255,A115,$L$15:$L$255,"&gt;"&amp;L115)+1</f>
        <v>36</v>
      </c>
    </row>
    <row r="116" customFormat="false" ht="32.8" hidden="false" customHeight="false" outlineLevel="0" collapsed="false">
      <c r="A116" s="11" t="s">
        <v>36</v>
      </c>
      <c r="B116" s="8" t="s">
        <v>429</v>
      </c>
      <c r="C116" s="11" t="s">
        <v>430</v>
      </c>
      <c r="D116" s="11" t="s">
        <v>183</v>
      </c>
      <c r="E116" s="11" t="s">
        <v>181</v>
      </c>
      <c r="F116" s="9" t="n">
        <v>5</v>
      </c>
      <c r="G116" s="9" t="n">
        <v>5</v>
      </c>
      <c r="H116" s="9" t="n">
        <v>2</v>
      </c>
      <c r="I116" s="9" t="n">
        <v>1</v>
      </c>
      <c r="J116" s="9" t="n">
        <v>1</v>
      </c>
      <c r="K116" s="15" t="n">
        <v>0</v>
      </c>
      <c r="L116" s="16" t="n">
        <f aca="false">ROUND(SUMPRODUCT(F116:J116,TRANSPOSE($B$6:$B$10))/$B$11+K116,2)</f>
        <v>3.2</v>
      </c>
      <c r="M116" s="9" t="n">
        <f aca="false">COUNTIFS($A$15:$A$255,A116,$L$15:$L$255,"&gt;"&amp;L116)+1</f>
        <v>15</v>
      </c>
    </row>
    <row r="117" customFormat="false" ht="22.35" hidden="false" customHeight="false" outlineLevel="0" collapsed="false">
      <c r="A117" s="11" t="s">
        <v>36</v>
      </c>
      <c r="B117" s="8" t="s">
        <v>431</v>
      </c>
      <c r="C117" s="11" t="s">
        <v>432</v>
      </c>
      <c r="D117" s="11" t="s">
        <v>183</v>
      </c>
      <c r="E117" s="11" t="s">
        <v>181</v>
      </c>
      <c r="F117" s="9" t="n">
        <v>5</v>
      </c>
      <c r="G117" s="9" t="n">
        <v>5</v>
      </c>
      <c r="H117" s="9" t="n">
        <v>1</v>
      </c>
      <c r="I117" s="9" t="n">
        <v>1</v>
      </c>
      <c r="J117" s="9" t="n">
        <v>1</v>
      </c>
      <c r="K117" s="15" t="n">
        <v>0</v>
      </c>
      <c r="L117" s="16" t="n">
        <f aca="false">ROUND(SUMPRODUCT(F117:J117,TRANSPOSE($B$6:$B$10))/$B$11+K117,2)</f>
        <v>3</v>
      </c>
      <c r="M117" s="9" t="n">
        <f aca="false">COUNTIFS($A$15:$A$255,A117,$L$15:$L$255,"&gt;"&amp;L117)+1</f>
        <v>18</v>
      </c>
    </row>
    <row r="118" customFormat="false" ht="22.35" hidden="false" customHeight="false" outlineLevel="0" collapsed="false">
      <c r="A118" s="11" t="s">
        <v>36</v>
      </c>
      <c r="B118" s="8" t="s">
        <v>433</v>
      </c>
      <c r="C118" s="11" t="s">
        <v>286</v>
      </c>
      <c r="D118" s="11" t="s">
        <v>183</v>
      </c>
      <c r="E118" s="11" t="s">
        <v>181</v>
      </c>
      <c r="F118" s="9" t="n">
        <v>5</v>
      </c>
      <c r="G118" s="9" t="n">
        <v>4</v>
      </c>
      <c r="H118" s="9" t="n">
        <v>5</v>
      </c>
      <c r="I118" s="9" t="n">
        <v>2</v>
      </c>
      <c r="J118" s="9" t="n">
        <v>1</v>
      </c>
      <c r="K118" s="15" t="n">
        <v>0</v>
      </c>
      <c r="L118" s="16" t="n">
        <f aca="false">ROUND(SUMPRODUCT(F118:J118,TRANSPOSE($B$6:$B$10))/$B$11+K118,2)</f>
        <v>3.75</v>
      </c>
      <c r="M118" s="9" t="n">
        <f aca="false">COUNTIFS($A$15:$A$255,A118,$L$15:$L$255,"&gt;"&amp;L118)+1</f>
        <v>5</v>
      </c>
    </row>
    <row r="119" customFormat="false" ht="22.35" hidden="false" customHeight="false" outlineLevel="0" collapsed="false">
      <c r="A119" s="11" t="s">
        <v>36</v>
      </c>
      <c r="B119" s="8" t="s">
        <v>434</v>
      </c>
      <c r="C119" s="11" t="s">
        <v>377</v>
      </c>
      <c r="D119" s="11" t="s">
        <v>183</v>
      </c>
      <c r="E119" s="11" t="s">
        <v>181</v>
      </c>
      <c r="F119" s="9" t="n">
        <v>5</v>
      </c>
      <c r="G119" s="9" t="n">
        <v>2</v>
      </c>
      <c r="H119" s="9" t="n">
        <v>1</v>
      </c>
      <c r="I119" s="9" t="n">
        <v>1</v>
      </c>
      <c r="J119" s="9" t="n">
        <v>1</v>
      </c>
      <c r="K119" s="15" t="n">
        <v>0</v>
      </c>
      <c r="L119" s="16" t="n">
        <f aca="false">ROUND(SUMPRODUCT(F119:J119,TRANSPOSE($B$6:$B$10))/$B$11+K119,2)</f>
        <v>2.4</v>
      </c>
      <c r="M119" s="9" t="n">
        <f aca="false">COUNTIFS($A$15:$A$255,A119,$L$15:$L$255,"&gt;"&amp;L119)+1</f>
        <v>28</v>
      </c>
    </row>
    <row r="120" customFormat="false" ht="43.25" hidden="false" customHeight="false" outlineLevel="0" collapsed="false">
      <c r="A120" s="11" t="s">
        <v>36</v>
      </c>
      <c r="B120" s="8" t="s">
        <v>435</v>
      </c>
      <c r="C120" s="11" t="s">
        <v>291</v>
      </c>
      <c r="D120" s="11" t="s">
        <v>183</v>
      </c>
      <c r="E120" s="11" t="s">
        <v>436</v>
      </c>
      <c r="F120" s="9" t="n">
        <v>2</v>
      </c>
      <c r="G120" s="9" t="n">
        <v>4</v>
      </c>
      <c r="H120" s="9" t="n">
        <v>4</v>
      </c>
      <c r="I120" s="9" t="n">
        <v>1</v>
      </c>
      <c r="J120" s="9" t="n">
        <v>1</v>
      </c>
      <c r="K120" s="15" t="n">
        <v>0</v>
      </c>
      <c r="L120" s="16" t="n">
        <f aca="false">ROUND(SUMPRODUCT(F120:J120,TRANSPOSE($B$6:$B$10))/$B$11+K120,2)</f>
        <v>2.5</v>
      </c>
      <c r="M120" s="9" t="n">
        <f aca="false">COUNTIFS($A$15:$A$255,A120,$L$15:$L$255,"&gt;"&amp;L120)+1</f>
        <v>27</v>
      </c>
    </row>
    <row r="121" customFormat="false" ht="22.35" hidden="false" customHeight="false" outlineLevel="0" collapsed="false">
      <c r="A121" s="11" t="s">
        <v>36</v>
      </c>
      <c r="B121" s="8" t="s">
        <v>437</v>
      </c>
      <c r="C121" s="11" t="s">
        <v>438</v>
      </c>
      <c r="D121" s="11" t="s">
        <v>183</v>
      </c>
      <c r="E121" s="11" t="s">
        <v>181</v>
      </c>
      <c r="F121" s="9" t="n">
        <v>5</v>
      </c>
      <c r="G121" s="9" t="n">
        <v>2</v>
      </c>
      <c r="H121" s="9" t="n">
        <v>1</v>
      </c>
      <c r="I121" s="9" t="n">
        <v>1</v>
      </c>
      <c r="J121" s="9" t="n">
        <v>1</v>
      </c>
      <c r="K121" s="15" t="n">
        <v>0</v>
      </c>
      <c r="L121" s="16" t="n">
        <f aca="false">ROUND(SUMPRODUCT(F121:J121,TRANSPOSE($B$6:$B$10))/$B$11+K121,2)</f>
        <v>2.4</v>
      </c>
      <c r="M121" s="9" t="n">
        <f aca="false">COUNTIFS($A$15:$A$255,A121,$L$15:$L$255,"&gt;"&amp;L121)+1</f>
        <v>28</v>
      </c>
    </row>
    <row r="122" customFormat="false" ht="15" hidden="false" customHeight="false" outlineLevel="0" collapsed="false">
      <c r="A122" s="11" t="s">
        <v>36</v>
      </c>
      <c r="B122" s="8" t="s">
        <v>439</v>
      </c>
      <c r="C122" s="11" t="s">
        <v>440</v>
      </c>
      <c r="D122" s="11" t="s">
        <v>183</v>
      </c>
      <c r="E122" s="11" t="s">
        <v>181</v>
      </c>
      <c r="F122" s="9" t="n">
        <v>5</v>
      </c>
      <c r="G122" s="9" t="n">
        <v>4</v>
      </c>
      <c r="H122" s="9" t="n">
        <v>4</v>
      </c>
      <c r="I122" s="9" t="n">
        <v>1</v>
      </c>
      <c r="J122" s="9" t="n">
        <v>1</v>
      </c>
      <c r="K122" s="15" t="n">
        <v>0</v>
      </c>
      <c r="L122" s="16" t="n">
        <f aca="false">ROUND(SUMPRODUCT(F122:J122,TRANSPOSE($B$6:$B$10))/$B$11+K122,2)</f>
        <v>3.4</v>
      </c>
      <c r="M122" s="9" t="n">
        <f aca="false">COUNTIFS($A$15:$A$255,A122,$L$15:$L$255,"&gt;"&amp;L122)+1</f>
        <v>10</v>
      </c>
    </row>
    <row r="123" customFormat="false" ht="15" hidden="false" customHeight="false" outlineLevel="0" collapsed="false">
      <c r="A123" s="11" t="s">
        <v>36</v>
      </c>
      <c r="B123" s="8" t="s">
        <v>441</v>
      </c>
      <c r="C123" s="11" t="s">
        <v>441</v>
      </c>
      <c r="D123" s="11" t="s">
        <v>183</v>
      </c>
      <c r="E123" s="11" t="s">
        <v>181</v>
      </c>
      <c r="F123" s="9" t="n">
        <v>5</v>
      </c>
      <c r="G123" s="9" t="n">
        <v>2</v>
      </c>
      <c r="H123" s="9" t="n">
        <v>2</v>
      </c>
      <c r="I123" s="9" t="n">
        <v>1</v>
      </c>
      <c r="J123" s="9" t="n">
        <v>1</v>
      </c>
      <c r="K123" s="15" t="n">
        <v>0</v>
      </c>
      <c r="L123" s="16" t="n">
        <f aca="false">ROUND(SUMPRODUCT(F123:J123,TRANSPOSE($B$6:$B$10))/$B$11+K123,2)</f>
        <v>2.6</v>
      </c>
      <c r="M123" s="9" t="n">
        <f aca="false">COUNTIFS($A$15:$A$255,A123,$L$15:$L$255,"&gt;"&amp;L123)+1</f>
        <v>25</v>
      </c>
    </row>
    <row r="124" customFormat="false" ht="15" hidden="false" customHeight="false" outlineLevel="0" collapsed="false">
      <c r="A124" s="11" t="s">
        <v>36</v>
      </c>
      <c r="B124" s="8" t="s">
        <v>442</v>
      </c>
      <c r="C124" s="11" t="s">
        <v>443</v>
      </c>
      <c r="D124" s="11" t="s">
        <v>183</v>
      </c>
      <c r="E124" s="11" t="s">
        <v>181</v>
      </c>
      <c r="F124" s="9" t="n">
        <v>5</v>
      </c>
      <c r="G124" s="9" t="n">
        <v>2</v>
      </c>
      <c r="H124" s="9" t="n">
        <v>1</v>
      </c>
      <c r="I124" s="9" t="n">
        <v>1</v>
      </c>
      <c r="J124" s="9" t="n">
        <v>1</v>
      </c>
      <c r="K124" s="15" t="n">
        <v>0</v>
      </c>
      <c r="L124" s="16" t="n">
        <f aca="false">ROUND(SUMPRODUCT(F124:J124,TRANSPOSE($B$6:$B$10))/$B$11+K124,2)</f>
        <v>2.4</v>
      </c>
      <c r="M124" s="9" t="n">
        <f aca="false">COUNTIFS($A$15:$A$255,A124,$L$15:$L$255,"&gt;"&amp;L124)+1</f>
        <v>28</v>
      </c>
    </row>
    <row r="125" customFormat="false" ht="43.25" hidden="false" customHeight="false" outlineLevel="0" collapsed="false">
      <c r="A125" s="11" t="s">
        <v>36</v>
      </c>
      <c r="B125" s="8" t="s">
        <v>444</v>
      </c>
      <c r="C125" s="11" t="s">
        <v>445</v>
      </c>
      <c r="D125" s="11" t="s">
        <v>446</v>
      </c>
      <c r="E125" s="11" t="s">
        <v>233</v>
      </c>
      <c r="F125" s="9" t="n">
        <v>1</v>
      </c>
      <c r="G125" s="9" t="n">
        <v>4</v>
      </c>
      <c r="H125" s="9" t="n">
        <v>2</v>
      </c>
      <c r="I125" s="9" t="n">
        <v>2</v>
      </c>
      <c r="J125" s="9" t="n">
        <v>2</v>
      </c>
      <c r="K125" s="15" t="n">
        <v>0</v>
      </c>
      <c r="L125" s="16" t="n">
        <f aca="false">ROUND(SUMPRODUCT(F125:J125,TRANSPOSE($B$6:$B$10))/$B$11+K125,2)</f>
        <v>2.1</v>
      </c>
      <c r="M125" s="9" t="n">
        <f aca="false">COUNTIFS($A$15:$A$255,A125,$L$15:$L$255,"&gt;"&amp;L125)+1</f>
        <v>38</v>
      </c>
    </row>
    <row r="126" customFormat="false" ht="32.8" hidden="false" customHeight="false" outlineLevel="0" collapsed="false">
      <c r="A126" s="11" t="s">
        <v>36</v>
      </c>
      <c r="B126" s="8" t="s">
        <v>447</v>
      </c>
      <c r="C126" s="11" t="s">
        <v>448</v>
      </c>
      <c r="D126" s="11" t="s">
        <v>449</v>
      </c>
      <c r="E126" s="11" t="s">
        <v>181</v>
      </c>
      <c r="F126" s="9" t="n">
        <v>5</v>
      </c>
      <c r="G126" s="9" t="n">
        <v>5</v>
      </c>
      <c r="H126" s="9" t="n">
        <v>1</v>
      </c>
      <c r="I126" s="9" t="n">
        <v>1</v>
      </c>
      <c r="J126" s="9" t="n">
        <v>2</v>
      </c>
      <c r="K126" s="15" t="n">
        <v>0</v>
      </c>
      <c r="L126" s="16" t="n">
        <f aca="false">ROUND(SUMPRODUCT(F126:J126,TRANSPOSE($B$6:$B$10))/$B$11+K126,2)</f>
        <v>3.15</v>
      </c>
      <c r="M126" s="9" t="n">
        <f aca="false">COUNTIFS($A$15:$A$255,A126,$L$15:$L$255,"&gt;"&amp;L126)+1</f>
        <v>16</v>
      </c>
    </row>
    <row r="127" customFormat="false" ht="15" hidden="false" customHeight="false" outlineLevel="0" collapsed="false">
      <c r="A127" s="11" t="s">
        <v>36</v>
      </c>
      <c r="B127" s="8" t="s">
        <v>450</v>
      </c>
      <c r="C127" s="11" t="s">
        <v>451</v>
      </c>
      <c r="D127" s="11" t="s">
        <v>183</v>
      </c>
      <c r="E127" s="11" t="s">
        <v>181</v>
      </c>
      <c r="F127" s="9" t="n">
        <v>5</v>
      </c>
      <c r="G127" s="9" t="n">
        <v>2</v>
      </c>
      <c r="H127" s="9" t="n">
        <v>1</v>
      </c>
      <c r="I127" s="9" t="n">
        <v>1</v>
      </c>
      <c r="J127" s="9" t="n">
        <v>1</v>
      </c>
      <c r="K127" s="15" t="n">
        <v>0</v>
      </c>
      <c r="L127" s="16" t="n">
        <f aca="false">ROUND(SUMPRODUCT(F127:J127,TRANSPOSE($B$6:$B$10))/$B$11+K127,2)</f>
        <v>2.4</v>
      </c>
      <c r="M127" s="9" t="n">
        <f aca="false">COUNTIFS($A$15:$A$255,A127,$L$15:$L$255,"&gt;"&amp;L127)+1</f>
        <v>28</v>
      </c>
    </row>
    <row r="128" customFormat="false" ht="15" hidden="false" customHeight="false" outlineLevel="0" collapsed="false">
      <c r="A128" s="11" t="s">
        <v>36</v>
      </c>
      <c r="B128" s="8" t="s">
        <v>452</v>
      </c>
      <c r="C128" s="11" t="s">
        <v>453</v>
      </c>
      <c r="D128" s="11" t="s">
        <v>183</v>
      </c>
      <c r="E128" s="11" t="s">
        <v>279</v>
      </c>
      <c r="F128" s="9" t="n">
        <v>2</v>
      </c>
      <c r="G128" s="9" t="n">
        <v>2</v>
      </c>
      <c r="H128" s="9" t="n">
        <v>1</v>
      </c>
      <c r="I128" s="9" t="n">
        <v>1</v>
      </c>
      <c r="J128" s="9" t="n">
        <v>1</v>
      </c>
      <c r="K128" s="15" t="n">
        <v>0</v>
      </c>
      <c r="L128" s="16" t="n">
        <f aca="false">ROUND(SUMPRODUCT(F128:J128,TRANSPOSE($B$6:$B$10))/$B$11+K128,2)</f>
        <v>1.5</v>
      </c>
      <c r="M128" s="9" t="n">
        <f aca="false">COUNTIFS($A$15:$A$255,A128,$L$15:$L$255,"&gt;"&amp;L128)+1</f>
        <v>42</v>
      </c>
    </row>
    <row r="129" customFormat="false" ht="32.8" hidden="false" customHeight="false" outlineLevel="0" collapsed="false">
      <c r="A129" s="11" t="s">
        <v>36</v>
      </c>
      <c r="B129" s="8" t="s">
        <v>454</v>
      </c>
      <c r="C129" s="11" t="s">
        <v>455</v>
      </c>
      <c r="D129" s="11" t="s">
        <v>456</v>
      </c>
      <c r="E129" s="11" t="s">
        <v>279</v>
      </c>
      <c r="F129" s="9" t="n">
        <v>2</v>
      </c>
      <c r="G129" s="9" t="n">
        <v>5</v>
      </c>
      <c r="H129" s="9" t="n">
        <v>1</v>
      </c>
      <c r="I129" s="9" t="n">
        <v>1</v>
      </c>
      <c r="J129" s="9" t="n">
        <v>2</v>
      </c>
      <c r="K129" s="15" t="n">
        <v>0</v>
      </c>
      <c r="L129" s="16" t="n">
        <f aca="false">ROUND(SUMPRODUCT(F129:J129,TRANSPOSE($B$6:$B$10))/$B$11+K129,2)</f>
        <v>2.25</v>
      </c>
      <c r="M129" s="9" t="n">
        <f aca="false">COUNTIFS($A$15:$A$255,A129,$L$15:$L$255,"&gt;"&amp;L129)+1</f>
        <v>37</v>
      </c>
    </row>
    <row r="130" customFormat="false" ht="43.25" hidden="false" customHeight="false" outlineLevel="0" collapsed="false">
      <c r="A130" s="11" t="s">
        <v>36</v>
      </c>
      <c r="B130" s="8" t="s">
        <v>457</v>
      </c>
      <c r="C130" s="11" t="s">
        <v>225</v>
      </c>
      <c r="D130" s="11" t="s">
        <v>458</v>
      </c>
      <c r="E130" s="11" t="s">
        <v>181</v>
      </c>
      <c r="F130" s="9" t="n">
        <v>5</v>
      </c>
      <c r="G130" s="9" t="n">
        <v>4</v>
      </c>
      <c r="H130" s="9" t="n">
        <v>5</v>
      </c>
      <c r="I130" s="9" t="n">
        <v>3</v>
      </c>
      <c r="J130" s="9" t="n">
        <v>2</v>
      </c>
      <c r="K130" s="15" t="n">
        <v>0</v>
      </c>
      <c r="L130" s="16" t="n">
        <f aca="false">ROUND(SUMPRODUCT(F130:J130,TRANSPOSE($B$6:$B$10))/$B$11+K130,2)</f>
        <v>4.05</v>
      </c>
      <c r="M130" s="9" t="n">
        <f aca="false">COUNTIFS($A$15:$A$255,A130,$L$15:$L$255,"&gt;"&amp;L130)+1</f>
        <v>1</v>
      </c>
    </row>
    <row r="131" customFormat="false" ht="22.35" hidden="false" customHeight="false" outlineLevel="0" collapsed="false">
      <c r="A131" s="11" t="s">
        <v>36</v>
      </c>
      <c r="B131" s="8" t="s">
        <v>459</v>
      </c>
      <c r="C131" s="11" t="s">
        <v>311</v>
      </c>
      <c r="D131" s="11" t="s">
        <v>183</v>
      </c>
      <c r="E131" s="11" t="s">
        <v>181</v>
      </c>
      <c r="F131" s="9" t="n">
        <v>5</v>
      </c>
      <c r="G131" s="9" t="n">
        <v>4</v>
      </c>
      <c r="H131" s="9" t="n">
        <v>5</v>
      </c>
      <c r="I131" s="9" t="n">
        <v>1</v>
      </c>
      <c r="J131" s="9" t="n">
        <v>1</v>
      </c>
      <c r="K131" s="15" t="n">
        <v>0</v>
      </c>
      <c r="L131" s="16" t="n">
        <f aca="false">ROUND(SUMPRODUCT(F131:J131,TRANSPOSE($B$6:$B$10))/$B$11+K131,2)</f>
        <v>3.6</v>
      </c>
      <c r="M131" s="9" t="n">
        <f aca="false">COUNTIFS($A$15:$A$255,A131,$L$15:$L$255,"&gt;"&amp;L131)+1</f>
        <v>8</v>
      </c>
    </row>
    <row r="132" customFormat="false" ht="32.8" hidden="false" customHeight="false" outlineLevel="0" collapsed="false">
      <c r="A132" s="11" t="s">
        <v>36</v>
      </c>
      <c r="B132" s="8" t="s">
        <v>460</v>
      </c>
      <c r="C132" s="11" t="s">
        <v>314</v>
      </c>
      <c r="D132" s="11" t="s">
        <v>183</v>
      </c>
      <c r="E132" s="11" t="s">
        <v>181</v>
      </c>
      <c r="F132" s="9" t="n">
        <v>5</v>
      </c>
      <c r="G132" s="9" t="n">
        <v>4</v>
      </c>
      <c r="H132" s="9" t="n">
        <v>5</v>
      </c>
      <c r="I132" s="9" t="n">
        <v>1</v>
      </c>
      <c r="J132" s="9" t="n">
        <v>1</v>
      </c>
      <c r="K132" s="15" t="n">
        <v>0</v>
      </c>
      <c r="L132" s="16" t="n">
        <f aca="false">ROUND(SUMPRODUCT(F132:J132,TRANSPOSE($B$6:$B$10))/$B$11+K132,2)</f>
        <v>3.6</v>
      </c>
      <c r="M132" s="9" t="n">
        <f aca="false">COUNTIFS($A$15:$A$255,A132,$L$15:$L$255,"&gt;"&amp;L132)+1</f>
        <v>8</v>
      </c>
    </row>
    <row r="133" customFormat="false" ht="15" hidden="false" customHeight="false" outlineLevel="0" collapsed="false">
      <c r="A133" s="11" t="s">
        <v>36</v>
      </c>
      <c r="B133" s="8" t="s">
        <v>461</v>
      </c>
      <c r="C133" s="11" t="s">
        <v>228</v>
      </c>
      <c r="D133" s="11" t="s">
        <v>183</v>
      </c>
      <c r="E133" s="11" t="s">
        <v>181</v>
      </c>
      <c r="F133" s="9" t="n">
        <v>5</v>
      </c>
      <c r="G133" s="9" t="n">
        <v>2</v>
      </c>
      <c r="H133" s="9" t="n">
        <v>1</v>
      </c>
      <c r="I133" s="9" t="n">
        <v>1</v>
      </c>
      <c r="J133" s="9" t="n">
        <v>1</v>
      </c>
      <c r="K133" s="15" t="n">
        <v>0</v>
      </c>
      <c r="L133" s="16" t="n">
        <f aca="false">ROUND(SUMPRODUCT(F133:J133,TRANSPOSE($B$6:$B$10))/$B$11+K133,2)</f>
        <v>2.4</v>
      </c>
      <c r="M133" s="9" t="n">
        <f aca="false">COUNTIFS($A$15:$A$255,A133,$L$15:$L$255,"&gt;"&amp;L133)+1</f>
        <v>28</v>
      </c>
    </row>
    <row r="134" customFormat="false" ht="22.35" hidden="false" customHeight="false" outlineLevel="0" collapsed="false">
      <c r="A134" s="11" t="s">
        <v>36</v>
      </c>
      <c r="B134" s="8" t="s">
        <v>462</v>
      </c>
      <c r="C134" s="11" t="s">
        <v>463</v>
      </c>
      <c r="D134" s="11" t="s">
        <v>323</v>
      </c>
      <c r="E134" s="11" t="s">
        <v>464</v>
      </c>
      <c r="F134" s="9" t="n">
        <v>5</v>
      </c>
      <c r="G134" s="9" t="n">
        <v>4</v>
      </c>
      <c r="H134" s="9" t="n">
        <v>1</v>
      </c>
      <c r="I134" s="9" t="n">
        <v>5</v>
      </c>
      <c r="J134" s="9" t="n">
        <v>5</v>
      </c>
      <c r="K134" s="15" t="n">
        <v>0</v>
      </c>
      <c r="L134" s="16" t="n">
        <f aca="false">ROUND(SUMPRODUCT(F134:J134,TRANSPOSE($B$6:$B$10))/$B$11+K134,2)</f>
        <v>4</v>
      </c>
      <c r="M134" s="9" t="n">
        <f aca="false">COUNTIFS($A$15:$A$255,A134,$L$15:$L$255,"&gt;"&amp;L134)+1</f>
        <v>2</v>
      </c>
    </row>
    <row r="135" customFormat="false" ht="22.35" hidden="false" customHeight="false" outlineLevel="0" collapsed="false">
      <c r="A135" s="11" t="s">
        <v>36</v>
      </c>
      <c r="B135" s="8" t="s">
        <v>465</v>
      </c>
      <c r="C135" s="11" t="s">
        <v>466</v>
      </c>
      <c r="D135" s="11" t="s">
        <v>467</v>
      </c>
      <c r="E135" s="11" t="s">
        <v>233</v>
      </c>
      <c r="F135" s="9" t="n">
        <v>1</v>
      </c>
      <c r="G135" s="9" t="n">
        <v>4</v>
      </c>
      <c r="H135" s="9" t="n">
        <v>1</v>
      </c>
      <c r="I135" s="9" t="n">
        <v>5</v>
      </c>
      <c r="J135" s="9" t="n">
        <v>5</v>
      </c>
      <c r="K135" s="15" t="n">
        <v>0</v>
      </c>
      <c r="L135" s="16" t="n">
        <f aca="false">ROUND(SUMPRODUCT(F135:J135,TRANSPOSE($B$6:$B$10))/$B$11+K135,2)</f>
        <v>2.8</v>
      </c>
      <c r="M135" s="9" t="n">
        <f aca="false">COUNTIFS($A$15:$A$255,A135,$L$15:$L$255,"&gt;"&amp;L135)+1</f>
        <v>19</v>
      </c>
    </row>
    <row r="136" customFormat="false" ht="32.8" hidden="false" customHeight="false" outlineLevel="0" collapsed="false">
      <c r="A136" s="11" t="s">
        <v>36</v>
      </c>
      <c r="B136" s="8" t="s">
        <v>468</v>
      </c>
      <c r="C136" s="11" t="s">
        <v>469</v>
      </c>
      <c r="D136" s="11" t="s">
        <v>470</v>
      </c>
      <c r="E136" s="11" t="s">
        <v>233</v>
      </c>
      <c r="F136" s="9" t="n">
        <v>1</v>
      </c>
      <c r="G136" s="9" t="n">
        <v>4</v>
      </c>
      <c r="H136" s="9" t="n">
        <v>1</v>
      </c>
      <c r="I136" s="9" t="n">
        <v>1</v>
      </c>
      <c r="J136" s="9" t="n">
        <v>3</v>
      </c>
      <c r="K136" s="15" t="n">
        <v>0</v>
      </c>
      <c r="L136" s="16" t="n">
        <f aca="false">ROUND(SUMPRODUCT(F136:J136,TRANSPOSE($B$6:$B$10))/$B$11+K136,2)</f>
        <v>1.9</v>
      </c>
      <c r="M136" s="9" t="n">
        <f aca="false">COUNTIFS($A$15:$A$255,A136,$L$15:$L$255,"&gt;"&amp;L136)+1</f>
        <v>40</v>
      </c>
    </row>
    <row r="137" customFormat="false" ht="43.25" hidden="false" customHeight="false" outlineLevel="0" collapsed="false">
      <c r="A137" s="11" t="s">
        <v>36</v>
      </c>
      <c r="B137" s="8" t="s">
        <v>471</v>
      </c>
      <c r="C137" s="11" t="s">
        <v>318</v>
      </c>
      <c r="D137" s="11" t="s">
        <v>472</v>
      </c>
      <c r="E137" s="11" t="s">
        <v>233</v>
      </c>
      <c r="F137" s="9" t="n">
        <v>1</v>
      </c>
      <c r="G137" s="9" t="n">
        <v>4</v>
      </c>
      <c r="H137" s="9" t="n">
        <v>3</v>
      </c>
      <c r="I137" s="9" t="n">
        <v>3</v>
      </c>
      <c r="J137" s="9" t="n">
        <v>3</v>
      </c>
      <c r="K137" s="15" t="n">
        <v>0</v>
      </c>
      <c r="L137" s="16" t="n">
        <f aca="false">ROUND(SUMPRODUCT(F137:J137,TRANSPOSE($B$6:$B$10))/$B$11+K137,2)</f>
        <v>2.6</v>
      </c>
      <c r="M137" s="9" t="n">
        <f aca="false">COUNTIFS($A$15:$A$255,A137,$L$15:$L$255,"&gt;"&amp;L137)+1</f>
        <v>25</v>
      </c>
    </row>
    <row r="138" customFormat="false" ht="22.35" hidden="false" customHeight="false" outlineLevel="0" collapsed="false">
      <c r="A138" s="11" t="s">
        <v>36</v>
      </c>
      <c r="B138" s="8" t="s">
        <v>473</v>
      </c>
      <c r="C138" s="11" t="s">
        <v>474</v>
      </c>
      <c r="D138" s="11" t="s">
        <v>470</v>
      </c>
      <c r="E138" s="11" t="s">
        <v>233</v>
      </c>
      <c r="F138" s="9" t="n">
        <v>1</v>
      </c>
      <c r="G138" s="9" t="n">
        <v>4</v>
      </c>
      <c r="H138" s="9" t="n">
        <v>1</v>
      </c>
      <c r="I138" s="9" t="n">
        <v>1</v>
      </c>
      <c r="J138" s="9" t="n">
        <v>3</v>
      </c>
      <c r="K138" s="15" t="n">
        <v>0</v>
      </c>
      <c r="L138" s="16" t="n">
        <f aca="false">ROUND(SUMPRODUCT(F138:J138,TRANSPOSE($B$6:$B$10))/$B$11+K138,2)</f>
        <v>1.9</v>
      </c>
      <c r="M138" s="9" t="n">
        <f aca="false">COUNTIFS($A$15:$A$255,A138,$L$15:$L$255,"&gt;"&amp;L138)+1</f>
        <v>40</v>
      </c>
    </row>
    <row r="139" customFormat="false" ht="85.05" hidden="false" customHeight="false" outlineLevel="0" collapsed="false">
      <c r="A139" s="11" t="s">
        <v>36</v>
      </c>
      <c r="B139" s="8" t="s">
        <v>475</v>
      </c>
      <c r="C139" s="11" t="s">
        <v>328</v>
      </c>
      <c r="D139" s="11" t="s">
        <v>476</v>
      </c>
      <c r="E139" s="11" t="s">
        <v>477</v>
      </c>
      <c r="F139" s="9" t="n">
        <v>5</v>
      </c>
      <c r="G139" s="9" t="n">
        <v>4</v>
      </c>
      <c r="H139" s="9" t="n">
        <v>1</v>
      </c>
      <c r="I139" s="9" t="n">
        <v>2</v>
      </c>
      <c r="J139" s="9" t="n">
        <v>3</v>
      </c>
      <c r="K139" s="15" t="n">
        <v>0</v>
      </c>
      <c r="L139" s="16" t="n">
        <f aca="false">ROUND(SUMPRODUCT(F139:J139,TRANSPOSE($B$6:$B$10))/$B$11+K139,2)</f>
        <v>3.25</v>
      </c>
      <c r="M139" s="9" t="n">
        <f aca="false">COUNTIFS($A$15:$A$255,A139,$L$15:$L$255,"&gt;"&amp;L139)+1</f>
        <v>14</v>
      </c>
    </row>
    <row r="140" customFormat="false" ht="22.35" hidden="false" customHeight="false" outlineLevel="0" collapsed="false">
      <c r="A140" s="11" t="s">
        <v>36</v>
      </c>
      <c r="B140" s="8" t="s">
        <v>478</v>
      </c>
      <c r="C140" s="11" t="s">
        <v>479</v>
      </c>
      <c r="D140" s="11" t="s">
        <v>397</v>
      </c>
      <c r="E140" s="11" t="s">
        <v>233</v>
      </c>
      <c r="F140" s="9" t="n">
        <v>1</v>
      </c>
      <c r="G140" s="9" t="n">
        <v>4</v>
      </c>
      <c r="H140" s="9" t="n">
        <v>1</v>
      </c>
      <c r="I140" s="9" t="n">
        <v>5</v>
      </c>
      <c r="J140" s="9" t="n">
        <v>5</v>
      </c>
      <c r="K140" s="15" t="n">
        <v>0</v>
      </c>
      <c r="L140" s="16" t="n">
        <f aca="false">ROUND(SUMPRODUCT(F140:J140,TRANSPOSE($B$6:$B$10))/$B$11+K140,2)</f>
        <v>2.8</v>
      </c>
      <c r="M140" s="9" t="n">
        <f aca="false">COUNTIFS($A$15:$A$255,A140,$L$15:$L$255,"&gt;"&amp;L140)+1</f>
        <v>19</v>
      </c>
    </row>
    <row r="141" customFormat="false" ht="53.7" hidden="false" customHeight="false" outlineLevel="0" collapsed="false">
      <c r="A141" s="11" t="s">
        <v>36</v>
      </c>
      <c r="B141" s="8" t="s">
        <v>480</v>
      </c>
      <c r="C141" s="11" t="s">
        <v>481</v>
      </c>
      <c r="D141" s="11" t="s">
        <v>323</v>
      </c>
      <c r="E141" s="11" t="s">
        <v>181</v>
      </c>
      <c r="F141" s="9" t="n">
        <v>5</v>
      </c>
      <c r="G141" s="9" t="n">
        <v>4</v>
      </c>
      <c r="H141" s="9" t="n">
        <v>1</v>
      </c>
      <c r="I141" s="9" t="n">
        <v>5</v>
      </c>
      <c r="J141" s="9" t="n">
        <v>5</v>
      </c>
      <c r="K141" s="15" t="n">
        <v>0</v>
      </c>
      <c r="L141" s="16" t="n">
        <f aca="false">ROUND(SUMPRODUCT(F141:J141,TRANSPOSE($B$6:$B$10))/$B$11+K141,2)</f>
        <v>4</v>
      </c>
      <c r="M141" s="9" t="n">
        <f aca="false">COUNTIFS($A$15:$A$255,A141,$L$15:$L$255,"&gt;"&amp;L141)+1</f>
        <v>2</v>
      </c>
    </row>
    <row r="142" customFormat="false" ht="32.8" hidden="false" customHeight="false" outlineLevel="0" collapsed="false">
      <c r="A142" s="11" t="s">
        <v>36</v>
      </c>
      <c r="B142" s="8" t="s">
        <v>482</v>
      </c>
      <c r="C142" s="11" t="s">
        <v>483</v>
      </c>
      <c r="D142" s="11" t="s">
        <v>467</v>
      </c>
      <c r="E142" s="11" t="s">
        <v>181</v>
      </c>
      <c r="F142" s="9" t="n">
        <v>5</v>
      </c>
      <c r="G142" s="9" t="n">
        <v>4</v>
      </c>
      <c r="H142" s="9" t="n">
        <v>1</v>
      </c>
      <c r="I142" s="9" t="n">
        <v>5</v>
      </c>
      <c r="J142" s="9" t="n">
        <v>5</v>
      </c>
      <c r="K142" s="15" t="n">
        <v>0</v>
      </c>
      <c r="L142" s="16" t="n">
        <f aca="false">ROUND(SUMPRODUCT(F142:J142,TRANSPOSE($B$6:$B$10))/$B$11+K142,2)</f>
        <v>4</v>
      </c>
      <c r="M142" s="9" t="n">
        <f aca="false">COUNTIFS($A$15:$A$255,A142,$L$15:$L$255,"&gt;"&amp;L142)+1</f>
        <v>2</v>
      </c>
    </row>
    <row r="143" customFormat="false" ht="32.8" hidden="false" customHeight="false" outlineLevel="0" collapsed="false">
      <c r="A143" s="11" t="s">
        <v>36</v>
      </c>
      <c r="B143" s="8" t="s">
        <v>332</v>
      </c>
      <c r="C143" s="11" t="s">
        <v>484</v>
      </c>
      <c r="D143" s="11" t="s">
        <v>467</v>
      </c>
      <c r="E143" s="11" t="s">
        <v>233</v>
      </c>
      <c r="F143" s="9" t="n">
        <v>1</v>
      </c>
      <c r="G143" s="9" t="n">
        <v>4</v>
      </c>
      <c r="H143" s="9" t="n">
        <v>1</v>
      </c>
      <c r="I143" s="9" t="n">
        <v>5</v>
      </c>
      <c r="J143" s="9" t="n">
        <v>5</v>
      </c>
      <c r="K143" s="15" t="n">
        <v>0</v>
      </c>
      <c r="L143" s="16" t="n">
        <f aca="false">ROUND(SUMPRODUCT(F143:J143,TRANSPOSE($B$6:$B$10))/$B$11+K143,2)</f>
        <v>2.8</v>
      </c>
      <c r="M143" s="9" t="n">
        <f aca="false">COUNTIFS($A$15:$A$255,A143,$L$15:$L$255,"&gt;"&amp;L143)+1</f>
        <v>19</v>
      </c>
    </row>
    <row r="144" customFormat="false" ht="15" hidden="false" customHeight="false" outlineLevel="0" collapsed="false">
      <c r="A144" s="11" t="s">
        <v>36</v>
      </c>
      <c r="B144" s="8" t="s">
        <v>485</v>
      </c>
      <c r="C144" s="11" t="s">
        <v>486</v>
      </c>
      <c r="D144" s="11" t="s">
        <v>467</v>
      </c>
      <c r="E144" s="11" t="s">
        <v>233</v>
      </c>
      <c r="F144" s="9" t="n">
        <v>1</v>
      </c>
      <c r="G144" s="9" t="n">
        <v>4</v>
      </c>
      <c r="H144" s="9" t="n">
        <v>1</v>
      </c>
      <c r="I144" s="9" t="n">
        <v>5</v>
      </c>
      <c r="J144" s="9" t="n">
        <v>5</v>
      </c>
      <c r="K144" s="15" t="n">
        <v>0</v>
      </c>
      <c r="L144" s="16" t="n">
        <f aca="false">ROUND(SUMPRODUCT(F144:J144,TRANSPOSE($B$6:$B$10))/$B$11+K144,2)</f>
        <v>2.8</v>
      </c>
      <c r="M144" s="9" t="n">
        <f aca="false">COUNTIFS($A$15:$A$255,A144,$L$15:$L$255,"&gt;"&amp;L144)+1</f>
        <v>19</v>
      </c>
    </row>
    <row r="145" customFormat="false" ht="32.8" hidden="false" customHeight="false" outlineLevel="0" collapsed="false">
      <c r="A145" s="11" t="s">
        <v>36</v>
      </c>
      <c r="B145" s="8" t="s">
        <v>487</v>
      </c>
      <c r="C145" s="11" t="s">
        <v>488</v>
      </c>
      <c r="D145" s="11" t="s">
        <v>467</v>
      </c>
      <c r="E145" s="11" t="s">
        <v>489</v>
      </c>
      <c r="F145" s="9" t="n">
        <v>3</v>
      </c>
      <c r="G145" s="9" t="n">
        <v>4</v>
      </c>
      <c r="H145" s="9" t="n">
        <v>1</v>
      </c>
      <c r="I145" s="9" t="n">
        <v>5</v>
      </c>
      <c r="J145" s="9" t="n">
        <v>5</v>
      </c>
      <c r="K145" s="15" t="n">
        <v>0</v>
      </c>
      <c r="L145" s="16" t="n">
        <f aca="false">ROUND(SUMPRODUCT(F145:J145,TRANSPOSE($B$6:$B$10))/$B$11+K145,2)</f>
        <v>3.4</v>
      </c>
      <c r="M145" s="9" t="n">
        <f aca="false">COUNTIFS($A$15:$A$255,A145,$L$15:$L$255,"&gt;"&amp;L145)+1</f>
        <v>10</v>
      </c>
    </row>
    <row r="146" customFormat="false" ht="15" hidden="false" customHeight="false" outlineLevel="0" collapsed="false">
      <c r="A146" s="11" t="s">
        <v>36</v>
      </c>
      <c r="B146" s="8" t="s">
        <v>490</v>
      </c>
      <c r="C146" s="11" t="s">
        <v>325</v>
      </c>
      <c r="D146" s="11" t="s">
        <v>467</v>
      </c>
      <c r="E146" s="11" t="s">
        <v>491</v>
      </c>
      <c r="F146" s="9" t="n">
        <v>3</v>
      </c>
      <c r="G146" s="9" t="n">
        <v>4</v>
      </c>
      <c r="H146" s="9" t="n">
        <v>1</v>
      </c>
      <c r="I146" s="9" t="n">
        <v>5</v>
      </c>
      <c r="J146" s="9" t="n">
        <v>5</v>
      </c>
      <c r="K146" s="15" t="n">
        <v>0</v>
      </c>
      <c r="L146" s="16" t="n">
        <f aca="false">ROUND(SUMPRODUCT(F146:J146,TRANSPOSE($B$6:$B$10))/$B$11+K146,2)</f>
        <v>3.4</v>
      </c>
      <c r="M146" s="9" t="n">
        <f aca="false">COUNTIFS($A$15:$A$255,A146,$L$15:$L$255,"&gt;"&amp;L146)+1</f>
        <v>10</v>
      </c>
    </row>
    <row r="147" customFormat="false" ht="32.8" hidden="false" customHeight="false" outlineLevel="0" collapsed="false">
      <c r="A147" s="11" t="s">
        <v>36</v>
      </c>
      <c r="B147" s="8" t="s">
        <v>492</v>
      </c>
      <c r="C147" s="11" t="s">
        <v>338</v>
      </c>
      <c r="D147" s="11" t="s">
        <v>493</v>
      </c>
      <c r="E147" s="11" t="s">
        <v>233</v>
      </c>
      <c r="F147" s="9" t="n">
        <v>1</v>
      </c>
      <c r="G147" s="9" t="n">
        <v>4</v>
      </c>
      <c r="H147" s="9" t="n">
        <v>1</v>
      </c>
      <c r="I147" s="9" t="n">
        <v>5</v>
      </c>
      <c r="J147" s="9" t="n">
        <v>5</v>
      </c>
      <c r="K147" s="15" t="n">
        <v>0</v>
      </c>
      <c r="L147" s="16" t="n">
        <f aca="false">ROUND(SUMPRODUCT(F147:J147,TRANSPOSE($B$6:$B$10))/$B$11+K147,2)</f>
        <v>2.8</v>
      </c>
      <c r="M147" s="9" t="n">
        <f aca="false">COUNTIFS($A$15:$A$255,A147,$L$15:$L$255,"&gt;"&amp;L147)+1</f>
        <v>19</v>
      </c>
    </row>
    <row r="148" customFormat="false" ht="53.7" hidden="false" customHeight="false" outlineLevel="0" collapsed="false">
      <c r="A148" s="11" t="s">
        <v>38</v>
      </c>
      <c r="B148" s="8" t="s">
        <v>494</v>
      </c>
      <c r="C148" s="11" t="s">
        <v>495</v>
      </c>
      <c r="D148" s="11" t="s">
        <v>496</v>
      </c>
      <c r="E148" s="11" t="s">
        <v>497</v>
      </c>
      <c r="F148" s="9" t="n">
        <v>5</v>
      </c>
      <c r="G148" s="9" t="n">
        <v>4</v>
      </c>
      <c r="H148" s="9" t="n">
        <v>1</v>
      </c>
      <c r="I148" s="9" t="n">
        <v>3</v>
      </c>
      <c r="J148" s="9" t="n">
        <v>5</v>
      </c>
      <c r="K148" s="15" t="n">
        <v>0</v>
      </c>
      <c r="L148" s="16" t="n">
        <f aca="false">ROUND(SUMPRODUCT(F148:J148,TRANSPOSE($B$6:$B$10))/$B$11+K148,2)</f>
        <v>3.7</v>
      </c>
      <c r="M148" s="9" t="n">
        <f aca="false">COUNTIFS($A$15:$A$255,A148,$L$15:$L$255,"&gt;"&amp;L148)+1</f>
        <v>3</v>
      </c>
    </row>
    <row r="149" customFormat="false" ht="32.8" hidden="false" customHeight="false" outlineLevel="0" collapsed="false">
      <c r="A149" s="11" t="s">
        <v>38</v>
      </c>
      <c r="B149" s="8" t="s">
        <v>498</v>
      </c>
      <c r="C149" s="11" t="s">
        <v>499</v>
      </c>
      <c r="D149" s="11" t="s">
        <v>183</v>
      </c>
      <c r="E149" s="11" t="s">
        <v>500</v>
      </c>
      <c r="F149" s="9" t="n">
        <v>5</v>
      </c>
      <c r="G149" s="9" t="n">
        <v>5</v>
      </c>
      <c r="H149" s="9" t="n">
        <v>1</v>
      </c>
      <c r="I149" s="9" t="n">
        <v>2</v>
      </c>
      <c r="J149" s="9" t="n">
        <v>1</v>
      </c>
      <c r="K149" s="15" t="n">
        <v>0</v>
      </c>
      <c r="L149" s="16" t="n">
        <f aca="false">ROUND(SUMPRODUCT(F149:J149,TRANSPOSE($B$6:$B$10))/$B$11+K149,2)</f>
        <v>3.15</v>
      </c>
      <c r="M149" s="9" t="n">
        <f aca="false">COUNTIFS($A$15:$A$255,A149,$L$15:$L$255,"&gt;"&amp;L149)+1</f>
        <v>15</v>
      </c>
    </row>
    <row r="150" customFormat="false" ht="43.25" hidden="false" customHeight="false" outlineLevel="0" collapsed="false">
      <c r="A150" s="11" t="s">
        <v>38</v>
      </c>
      <c r="B150" s="8" t="s">
        <v>501</v>
      </c>
      <c r="C150" s="11" t="s">
        <v>502</v>
      </c>
      <c r="D150" s="11" t="s">
        <v>183</v>
      </c>
      <c r="E150" s="11" t="s">
        <v>503</v>
      </c>
      <c r="F150" s="9" t="n">
        <v>2</v>
      </c>
      <c r="G150" s="9" t="n">
        <v>2</v>
      </c>
      <c r="H150" s="9" t="n">
        <v>3</v>
      </c>
      <c r="I150" s="9" t="n">
        <v>1</v>
      </c>
      <c r="J150" s="9" t="n">
        <v>1</v>
      </c>
      <c r="K150" s="15" t="n">
        <v>0</v>
      </c>
      <c r="L150" s="16" t="n">
        <f aca="false">ROUND(SUMPRODUCT(F150:J150,TRANSPOSE($B$6:$B$10))/$B$11+K150,2)</f>
        <v>1.9</v>
      </c>
      <c r="M150" s="9" t="n">
        <f aca="false">COUNTIFS($A$15:$A$255,A150,$L$15:$L$255,"&gt;"&amp;L150)+1</f>
        <v>35</v>
      </c>
    </row>
    <row r="151" customFormat="false" ht="22.35" hidden="false" customHeight="false" outlineLevel="0" collapsed="false">
      <c r="A151" s="11" t="s">
        <v>38</v>
      </c>
      <c r="B151" s="8" t="s">
        <v>504</v>
      </c>
      <c r="C151" s="11" t="s">
        <v>505</v>
      </c>
      <c r="D151" s="11" t="s">
        <v>183</v>
      </c>
      <c r="E151" s="11" t="s">
        <v>506</v>
      </c>
      <c r="F151" s="9" t="n">
        <v>5</v>
      </c>
      <c r="G151" s="9" t="n">
        <v>2</v>
      </c>
      <c r="H151" s="9" t="n">
        <v>1</v>
      </c>
      <c r="I151" s="9" t="n">
        <v>1</v>
      </c>
      <c r="J151" s="9" t="n">
        <v>1</v>
      </c>
      <c r="K151" s="15" t="n">
        <v>0</v>
      </c>
      <c r="L151" s="16" t="n">
        <f aca="false">ROUND(SUMPRODUCT(F151:J151,TRANSPOSE($B$6:$B$10))/$B$11+K151,2)</f>
        <v>2.4</v>
      </c>
      <c r="M151" s="9" t="n">
        <f aca="false">COUNTIFS($A$15:$A$255,A151,$L$15:$L$255,"&gt;"&amp;L151)+1</f>
        <v>25</v>
      </c>
    </row>
    <row r="152" customFormat="false" ht="43.25" hidden="false" customHeight="false" outlineLevel="0" collapsed="false">
      <c r="A152" s="11" t="s">
        <v>38</v>
      </c>
      <c r="B152" s="8" t="s">
        <v>507</v>
      </c>
      <c r="C152" s="11" t="s">
        <v>508</v>
      </c>
      <c r="D152" s="11" t="s">
        <v>212</v>
      </c>
      <c r="E152" s="11" t="s">
        <v>509</v>
      </c>
      <c r="F152" s="9" t="n">
        <v>5</v>
      </c>
      <c r="G152" s="9" t="n">
        <v>2</v>
      </c>
      <c r="H152" s="9" t="n">
        <v>3</v>
      </c>
      <c r="I152" s="9" t="n">
        <v>3</v>
      </c>
      <c r="J152" s="9" t="n">
        <v>2</v>
      </c>
      <c r="K152" s="15" t="n">
        <v>0</v>
      </c>
      <c r="L152" s="16" t="n">
        <f aca="false">ROUND(SUMPRODUCT(F152:J152,TRANSPOSE($B$6:$B$10))/$B$11+K152,2)</f>
        <v>3.25</v>
      </c>
      <c r="M152" s="9" t="n">
        <f aca="false">COUNTIFS($A$15:$A$255,A152,$L$15:$L$255,"&gt;"&amp;L152)+1</f>
        <v>12</v>
      </c>
    </row>
    <row r="153" customFormat="false" ht="53.7" hidden="false" customHeight="false" outlineLevel="0" collapsed="false">
      <c r="A153" s="11" t="s">
        <v>38</v>
      </c>
      <c r="B153" s="8" t="s">
        <v>510</v>
      </c>
      <c r="C153" s="11" t="s">
        <v>511</v>
      </c>
      <c r="D153" s="11" t="s">
        <v>512</v>
      </c>
      <c r="E153" s="11" t="s">
        <v>513</v>
      </c>
      <c r="F153" s="9" t="n">
        <v>5</v>
      </c>
      <c r="G153" s="9" t="n">
        <v>4</v>
      </c>
      <c r="H153" s="9" t="n">
        <v>3</v>
      </c>
      <c r="I153" s="9" t="n">
        <v>2</v>
      </c>
      <c r="J153" s="9" t="n">
        <v>2</v>
      </c>
      <c r="K153" s="15" t="n">
        <v>0</v>
      </c>
      <c r="L153" s="16" t="n">
        <f aca="false">ROUND(SUMPRODUCT(F153:J153,TRANSPOSE($B$6:$B$10))/$B$11+K153,2)</f>
        <v>3.5</v>
      </c>
      <c r="M153" s="9" t="n">
        <f aca="false">COUNTIFS($A$15:$A$255,A153,$L$15:$L$255,"&gt;"&amp;L153)+1</f>
        <v>5</v>
      </c>
    </row>
    <row r="154" customFormat="false" ht="43.25" hidden="false" customHeight="false" outlineLevel="0" collapsed="false">
      <c r="A154" s="11" t="s">
        <v>38</v>
      </c>
      <c r="B154" s="8" t="s">
        <v>514</v>
      </c>
      <c r="C154" s="11" t="s">
        <v>515</v>
      </c>
      <c r="D154" s="11" t="s">
        <v>516</v>
      </c>
      <c r="E154" s="11" t="s">
        <v>517</v>
      </c>
      <c r="F154" s="9" t="n">
        <v>5</v>
      </c>
      <c r="G154" s="9" t="n">
        <v>4</v>
      </c>
      <c r="H154" s="9" t="n">
        <v>1</v>
      </c>
      <c r="I154" s="9" t="n">
        <v>3</v>
      </c>
      <c r="J154" s="9" t="n">
        <v>5</v>
      </c>
      <c r="K154" s="15" t="n">
        <v>0</v>
      </c>
      <c r="L154" s="16" t="n">
        <f aca="false">ROUND(SUMPRODUCT(F154:J154,TRANSPOSE($B$6:$B$10))/$B$11+K154,2)</f>
        <v>3.7</v>
      </c>
      <c r="M154" s="9" t="n">
        <f aca="false">COUNTIFS($A$15:$A$255,A154,$L$15:$L$255,"&gt;"&amp;L154)+1</f>
        <v>3</v>
      </c>
    </row>
    <row r="155" customFormat="false" ht="43.25" hidden="false" customHeight="false" outlineLevel="0" collapsed="false">
      <c r="A155" s="11" t="s">
        <v>38</v>
      </c>
      <c r="B155" s="8" t="s">
        <v>518</v>
      </c>
      <c r="C155" s="11" t="s">
        <v>519</v>
      </c>
      <c r="D155" s="11" t="s">
        <v>516</v>
      </c>
      <c r="E155" s="11" t="s">
        <v>233</v>
      </c>
      <c r="F155" s="9" t="n">
        <v>1</v>
      </c>
      <c r="G155" s="9" t="n">
        <v>1</v>
      </c>
      <c r="H155" s="9" t="n">
        <v>1</v>
      </c>
      <c r="I155" s="9" t="n">
        <v>5</v>
      </c>
      <c r="J155" s="9" t="n">
        <v>5</v>
      </c>
      <c r="K155" s="15" t="n">
        <v>0</v>
      </c>
      <c r="L155" s="16" t="n">
        <f aca="false">ROUND(SUMPRODUCT(F155:J155,TRANSPOSE($B$6:$B$10))/$B$11+K155,2)</f>
        <v>2.2</v>
      </c>
      <c r="M155" s="9" t="n">
        <f aca="false">COUNTIFS($A$15:$A$255,A155,$L$15:$L$255,"&gt;"&amp;L155)+1</f>
        <v>28</v>
      </c>
    </row>
    <row r="156" customFormat="false" ht="22.35" hidden="false" customHeight="false" outlineLevel="0" collapsed="false">
      <c r="A156" s="11" t="s">
        <v>38</v>
      </c>
      <c r="B156" s="8" t="s">
        <v>520</v>
      </c>
      <c r="C156" s="11" t="s">
        <v>521</v>
      </c>
      <c r="D156" s="11" t="s">
        <v>516</v>
      </c>
      <c r="E156" s="11" t="s">
        <v>233</v>
      </c>
      <c r="F156" s="9" t="n">
        <v>1</v>
      </c>
      <c r="G156" s="9" t="n">
        <v>1</v>
      </c>
      <c r="H156" s="9" t="n">
        <v>1</v>
      </c>
      <c r="I156" s="9" t="n">
        <v>5</v>
      </c>
      <c r="J156" s="9" t="n">
        <v>5</v>
      </c>
      <c r="K156" s="15" t="n">
        <v>0</v>
      </c>
      <c r="L156" s="16" t="n">
        <f aca="false">ROUND(SUMPRODUCT(F156:J156,TRANSPOSE($B$6:$B$10))/$B$11+K156,2)</f>
        <v>2.2</v>
      </c>
      <c r="M156" s="9" t="n">
        <f aca="false">COUNTIFS($A$15:$A$255,A156,$L$15:$L$255,"&gt;"&amp;L156)+1</f>
        <v>28</v>
      </c>
    </row>
    <row r="157" customFormat="false" ht="32.8" hidden="false" customHeight="false" outlineLevel="0" collapsed="false">
      <c r="A157" s="11" t="s">
        <v>38</v>
      </c>
      <c r="B157" s="8" t="s">
        <v>522</v>
      </c>
      <c r="C157" s="11" t="s">
        <v>479</v>
      </c>
      <c r="D157" s="11" t="s">
        <v>516</v>
      </c>
      <c r="E157" s="11" t="s">
        <v>523</v>
      </c>
      <c r="F157" s="9" t="n">
        <v>2</v>
      </c>
      <c r="G157" s="9" t="n">
        <v>2</v>
      </c>
      <c r="H157" s="9" t="n">
        <v>1</v>
      </c>
      <c r="I157" s="9" t="n">
        <v>3</v>
      </c>
      <c r="J157" s="9" t="n">
        <v>5</v>
      </c>
      <c r="K157" s="15" t="n">
        <v>0</v>
      </c>
      <c r="L157" s="16" t="n">
        <f aca="false">ROUND(SUMPRODUCT(F157:J157,TRANSPOSE($B$6:$B$10))/$B$11+K157,2)</f>
        <v>2.4</v>
      </c>
      <c r="M157" s="9" t="n">
        <f aca="false">COUNTIFS($A$15:$A$255,A157,$L$15:$L$255,"&gt;"&amp;L157)+1</f>
        <v>25</v>
      </c>
    </row>
    <row r="158" customFormat="false" ht="22.35" hidden="false" customHeight="false" outlineLevel="0" collapsed="false">
      <c r="A158" s="11" t="s">
        <v>38</v>
      </c>
      <c r="B158" s="8" t="s">
        <v>524</v>
      </c>
      <c r="C158" s="11" t="s">
        <v>479</v>
      </c>
      <c r="D158" s="11" t="s">
        <v>525</v>
      </c>
      <c r="E158" s="11" t="s">
        <v>233</v>
      </c>
      <c r="F158" s="9" t="n">
        <v>1</v>
      </c>
      <c r="G158" s="9" t="n">
        <v>4</v>
      </c>
      <c r="H158" s="9" t="n">
        <v>3</v>
      </c>
      <c r="I158" s="9" t="n">
        <v>5</v>
      </c>
      <c r="J158" s="9" t="n">
        <v>5</v>
      </c>
      <c r="K158" s="15" t="n">
        <v>0</v>
      </c>
      <c r="L158" s="16" t="n">
        <f aca="false">ROUND(SUMPRODUCT(F158:J158,TRANSPOSE($B$6:$B$10))/$B$11+K158,2)</f>
        <v>3.2</v>
      </c>
      <c r="M158" s="9" t="n">
        <f aca="false">COUNTIFS($A$15:$A$255,A158,$L$15:$L$255,"&gt;"&amp;L158)+1</f>
        <v>13</v>
      </c>
    </row>
    <row r="159" customFormat="false" ht="22.35" hidden="false" customHeight="false" outlineLevel="0" collapsed="false">
      <c r="A159" s="11" t="s">
        <v>38</v>
      </c>
      <c r="B159" s="8" t="s">
        <v>526</v>
      </c>
      <c r="C159" s="11" t="s">
        <v>527</v>
      </c>
      <c r="D159" s="11" t="s">
        <v>516</v>
      </c>
      <c r="E159" s="11" t="s">
        <v>233</v>
      </c>
      <c r="F159" s="9" t="n">
        <v>1</v>
      </c>
      <c r="G159" s="9" t="n">
        <v>1</v>
      </c>
      <c r="H159" s="9" t="n">
        <v>1</v>
      </c>
      <c r="I159" s="9" t="n">
        <v>5</v>
      </c>
      <c r="J159" s="9" t="n">
        <v>5</v>
      </c>
      <c r="K159" s="15" t="n">
        <v>0</v>
      </c>
      <c r="L159" s="16" t="n">
        <f aca="false">ROUND(SUMPRODUCT(F159:J159,TRANSPOSE($B$6:$B$10))/$B$11+K159,2)</f>
        <v>2.2</v>
      </c>
      <c r="M159" s="9" t="n">
        <f aca="false">COUNTIFS($A$15:$A$255,A159,$L$15:$L$255,"&gt;"&amp;L159)+1</f>
        <v>28</v>
      </c>
    </row>
    <row r="160" customFormat="false" ht="22.35" hidden="false" customHeight="false" outlineLevel="0" collapsed="false">
      <c r="A160" s="11" t="s">
        <v>38</v>
      </c>
      <c r="B160" s="8" t="s">
        <v>528</v>
      </c>
      <c r="C160" s="11" t="s">
        <v>529</v>
      </c>
      <c r="D160" s="11" t="s">
        <v>516</v>
      </c>
      <c r="E160" s="11" t="s">
        <v>233</v>
      </c>
      <c r="F160" s="9" t="n">
        <v>1</v>
      </c>
      <c r="G160" s="9" t="n">
        <v>1</v>
      </c>
      <c r="H160" s="9" t="n">
        <v>1</v>
      </c>
      <c r="I160" s="9" t="n">
        <v>5</v>
      </c>
      <c r="J160" s="9" t="n">
        <v>5</v>
      </c>
      <c r="K160" s="15" t="n">
        <v>0</v>
      </c>
      <c r="L160" s="16" t="n">
        <f aca="false">ROUND(SUMPRODUCT(F160:J160,TRANSPOSE($B$6:$B$10))/$B$11+K160,2)</f>
        <v>2.2</v>
      </c>
      <c r="M160" s="9" t="n">
        <f aca="false">COUNTIFS($A$15:$A$255,A160,$L$15:$L$255,"&gt;"&amp;L160)+1</f>
        <v>28</v>
      </c>
    </row>
    <row r="161" customFormat="false" ht="64.15" hidden="false" customHeight="false" outlineLevel="0" collapsed="false">
      <c r="A161" s="11" t="s">
        <v>38</v>
      </c>
      <c r="B161" s="8" t="s">
        <v>530</v>
      </c>
      <c r="C161" s="11" t="s">
        <v>531</v>
      </c>
      <c r="D161" s="11" t="s">
        <v>183</v>
      </c>
      <c r="E161" s="11" t="s">
        <v>532</v>
      </c>
      <c r="F161" s="9" t="n">
        <v>3</v>
      </c>
      <c r="G161" s="9" t="n">
        <v>2</v>
      </c>
      <c r="H161" s="9" t="n">
        <v>1</v>
      </c>
      <c r="I161" s="9" t="n">
        <v>1</v>
      </c>
      <c r="J161" s="9" t="n">
        <v>1</v>
      </c>
      <c r="K161" s="15" t="n">
        <v>0</v>
      </c>
      <c r="L161" s="16" t="n">
        <f aca="false">ROUND(SUMPRODUCT(F161:J161,TRANSPOSE($B$6:$B$10))/$B$11+K161,2)</f>
        <v>1.8</v>
      </c>
      <c r="M161" s="9" t="n">
        <f aca="false">COUNTIFS($A$15:$A$255,A161,$L$15:$L$255,"&gt;"&amp;L161)+1</f>
        <v>36</v>
      </c>
    </row>
    <row r="162" customFormat="false" ht="43.25" hidden="false" customHeight="false" outlineLevel="0" collapsed="false">
      <c r="A162" s="11" t="s">
        <v>38</v>
      </c>
      <c r="B162" s="8" t="s">
        <v>533</v>
      </c>
      <c r="C162" s="11" t="s">
        <v>534</v>
      </c>
      <c r="D162" s="11" t="s">
        <v>516</v>
      </c>
      <c r="E162" s="11" t="s">
        <v>233</v>
      </c>
      <c r="F162" s="9" t="n">
        <v>1</v>
      </c>
      <c r="G162" s="9" t="n">
        <v>1</v>
      </c>
      <c r="H162" s="9" t="n">
        <v>1</v>
      </c>
      <c r="I162" s="9" t="n">
        <v>5</v>
      </c>
      <c r="J162" s="9" t="n">
        <v>5</v>
      </c>
      <c r="K162" s="15" t="n">
        <v>0</v>
      </c>
      <c r="L162" s="16" t="n">
        <f aca="false">ROUND(SUMPRODUCT(F162:J162,TRANSPOSE($B$6:$B$10))/$B$11+K162,2)</f>
        <v>2.2</v>
      </c>
      <c r="M162" s="9" t="n">
        <f aca="false">COUNTIFS($A$15:$A$255,A162,$L$15:$L$255,"&gt;"&amp;L162)+1</f>
        <v>28</v>
      </c>
    </row>
    <row r="163" customFormat="false" ht="22.35" hidden="false" customHeight="false" outlineLevel="0" collapsed="false">
      <c r="A163" s="11" t="s">
        <v>38</v>
      </c>
      <c r="B163" s="8" t="s">
        <v>535</v>
      </c>
      <c r="C163" s="11" t="s">
        <v>536</v>
      </c>
      <c r="D163" s="11" t="s">
        <v>516</v>
      </c>
      <c r="E163" s="11" t="s">
        <v>233</v>
      </c>
      <c r="F163" s="9" t="n">
        <v>1</v>
      </c>
      <c r="G163" s="9" t="n">
        <v>1</v>
      </c>
      <c r="H163" s="9" t="n">
        <v>1</v>
      </c>
      <c r="I163" s="9" t="n">
        <v>5</v>
      </c>
      <c r="J163" s="9" t="n">
        <v>5</v>
      </c>
      <c r="K163" s="15" t="n">
        <v>0</v>
      </c>
      <c r="L163" s="16" t="n">
        <f aca="false">ROUND(SUMPRODUCT(F163:J163,TRANSPOSE($B$6:$B$10))/$B$11+K163,2)</f>
        <v>2.2</v>
      </c>
      <c r="M163" s="9" t="n">
        <f aca="false">COUNTIFS($A$15:$A$255,A163,$L$15:$L$255,"&gt;"&amp;L163)+1</f>
        <v>28</v>
      </c>
    </row>
    <row r="164" customFormat="false" ht="43.25" hidden="false" customHeight="false" outlineLevel="0" collapsed="false">
      <c r="A164" s="11" t="s">
        <v>38</v>
      </c>
      <c r="B164" s="8" t="s">
        <v>537</v>
      </c>
      <c r="C164" s="11" t="s">
        <v>538</v>
      </c>
      <c r="D164" s="11" t="s">
        <v>539</v>
      </c>
      <c r="E164" s="11" t="s">
        <v>233</v>
      </c>
      <c r="F164" s="9" t="n">
        <v>1</v>
      </c>
      <c r="G164" s="9" t="n">
        <v>4</v>
      </c>
      <c r="H164" s="9" t="n">
        <v>1</v>
      </c>
      <c r="I164" s="9" t="n">
        <v>5</v>
      </c>
      <c r="J164" s="9" t="n">
        <v>5</v>
      </c>
      <c r="K164" s="15" t="n">
        <v>0</v>
      </c>
      <c r="L164" s="16" t="n">
        <f aca="false">ROUND(SUMPRODUCT(F164:J164,TRANSPOSE($B$6:$B$10))/$B$11+K164,2)</f>
        <v>2.8</v>
      </c>
      <c r="M164" s="9" t="n">
        <f aca="false">COUNTIFS($A$15:$A$255,A164,$L$15:$L$255,"&gt;"&amp;L164)+1</f>
        <v>16</v>
      </c>
    </row>
    <row r="165" customFormat="false" ht="32.8" hidden="false" customHeight="false" outlineLevel="0" collapsed="false">
      <c r="A165" s="11" t="s">
        <v>38</v>
      </c>
      <c r="B165" s="8" t="s">
        <v>540</v>
      </c>
      <c r="C165" s="11" t="s">
        <v>541</v>
      </c>
      <c r="D165" s="11" t="s">
        <v>516</v>
      </c>
      <c r="E165" s="11" t="s">
        <v>233</v>
      </c>
      <c r="F165" s="9" t="n">
        <v>1</v>
      </c>
      <c r="G165" s="9" t="n">
        <v>1</v>
      </c>
      <c r="H165" s="9" t="n">
        <v>1</v>
      </c>
      <c r="I165" s="9" t="n">
        <v>5</v>
      </c>
      <c r="J165" s="9" t="n">
        <v>5</v>
      </c>
      <c r="K165" s="15" t="n">
        <v>0</v>
      </c>
      <c r="L165" s="16" t="n">
        <f aca="false">ROUND(SUMPRODUCT(F165:J165,TRANSPOSE($B$6:$B$10))/$B$11+K165,2)</f>
        <v>2.2</v>
      </c>
      <c r="M165" s="9" t="n">
        <f aca="false">COUNTIFS($A$15:$A$255,A165,$L$15:$L$255,"&gt;"&amp;L165)+1</f>
        <v>28</v>
      </c>
    </row>
    <row r="166" customFormat="false" ht="53.7" hidden="false" customHeight="false" outlineLevel="0" collapsed="false">
      <c r="A166" s="11" t="s">
        <v>38</v>
      </c>
      <c r="B166" s="8" t="s">
        <v>542</v>
      </c>
      <c r="C166" s="11" t="s">
        <v>543</v>
      </c>
      <c r="D166" s="11" t="s">
        <v>183</v>
      </c>
      <c r="E166" s="11" t="s">
        <v>544</v>
      </c>
      <c r="F166" s="9" t="n">
        <v>5</v>
      </c>
      <c r="G166" s="9" t="n">
        <v>2</v>
      </c>
      <c r="H166" s="9" t="n">
        <v>1</v>
      </c>
      <c r="I166" s="9" t="n">
        <v>2</v>
      </c>
      <c r="J166" s="9" t="n">
        <v>1</v>
      </c>
      <c r="K166" s="15" t="n">
        <v>0</v>
      </c>
      <c r="L166" s="16" t="n">
        <f aca="false">ROUND(SUMPRODUCT(F166:J166,TRANSPOSE($B$6:$B$10))/$B$11+K166,2)</f>
        <v>2.55</v>
      </c>
      <c r="M166" s="9" t="n">
        <f aca="false">COUNTIFS($A$15:$A$255,A166,$L$15:$L$255,"&gt;"&amp;L166)+1</f>
        <v>23</v>
      </c>
    </row>
    <row r="167" customFormat="false" ht="53.7" hidden="false" customHeight="false" outlineLevel="0" collapsed="false">
      <c r="A167" s="11" t="s">
        <v>38</v>
      </c>
      <c r="B167" s="8" t="s">
        <v>545</v>
      </c>
      <c r="C167" s="11" t="s">
        <v>546</v>
      </c>
      <c r="D167" s="11" t="s">
        <v>183</v>
      </c>
      <c r="E167" s="11" t="s">
        <v>547</v>
      </c>
      <c r="F167" s="9" t="n">
        <v>5</v>
      </c>
      <c r="G167" s="9" t="n">
        <v>4</v>
      </c>
      <c r="H167" s="9" t="n">
        <v>3</v>
      </c>
      <c r="I167" s="9" t="n">
        <v>2</v>
      </c>
      <c r="J167" s="9" t="n">
        <v>1</v>
      </c>
      <c r="K167" s="15" t="n">
        <v>0</v>
      </c>
      <c r="L167" s="16" t="n">
        <f aca="false">ROUND(SUMPRODUCT(F167:J167,TRANSPOSE($B$6:$B$10))/$B$11+K167,2)</f>
        <v>3.35</v>
      </c>
      <c r="M167" s="9" t="n">
        <f aca="false">COUNTIFS($A$15:$A$255,A167,$L$15:$L$255,"&gt;"&amp;L167)+1</f>
        <v>10</v>
      </c>
    </row>
    <row r="168" customFormat="false" ht="22.35" hidden="false" customHeight="false" outlineLevel="0" collapsed="false">
      <c r="A168" s="11" t="s">
        <v>38</v>
      </c>
      <c r="B168" s="8" t="s">
        <v>548</v>
      </c>
      <c r="C168" s="11" t="s">
        <v>549</v>
      </c>
      <c r="D168" s="11" t="s">
        <v>183</v>
      </c>
      <c r="E168" s="11" t="s">
        <v>550</v>
      </c>
      <c r="F168" s="9" t="n">
        <v>5</v>
      </c>
      <c r="G168" s="9" t="n">
        <v>4</v>
      </c>
      <c r="H168" s="9" t="n">
        <v>1</v>
      </c>
      <c r="I168" s="9" t="n">
        <v>1</v>
      </c>
      <c r="J168" s="9" t="n">
        <v>1</v>
      </c>
      <c r="K168" s="15" t="n">
        <v>0</v>
      </c>
      <c r="L168" s="16" t="n">
        <f aca="false">ROUND(SUMPRODUCT(F168:J168,TRANSPOSE($B$6:$B$10))/$B$11+K168,2)</f>
        <v>2.8</v>
      </c>
      <c r="M168" s="9" t="n">
        <f aca="false">COUNTIFS($A$15:$A$255,A168,$L$15:$L$255,"&gt;"&amp;L168)+1</f>
        <v>16</v>
      </c>
    </row>
    <row r="169" customFormat="false" ht="32.8" hidden="false" customHeight="false" outlineLevel="0" collapsed="false">
      <c r="A169" s="11" t="s">
        <v>38</v>
      </c>
      <c r="B169" s="8" t="s">
        <v>551</v>
      </c>
      <c r="C169" s="11" t="s">
        <v>552</v>
      </c>
      <c r="D169" s="11" t="s">
        <v>183</v>
      </c>
      <c r="E169" s="11" t="s">
        <v>181</v>
      </c>
      <c r="F169" s="9" t="n">
        <v>5</v>
      </c>
      <c r="G169" s="9" t="n">
        <v>2</v>
      </c>
      <c r="H169" s="9" t="n">
        <v>3</v>
      </c>
      <c r="I169" s="9" t="n">
        <v>1</v>
      </c>
      <c r="J169" s="9" t="n">
        <v>1</v>
      </c>
      <c r="K169" s="15" t="n">
        <v>0</v>
      </c>
      <c r="L169" s="16" t="n">
        <f aca="false">ROUND(SUMPRODUCT(F169:J169,TRANSPOSE($B$6:$B$10))/$B$11+K169,2)</f>
        <v>2.8</v>
      </c>
      <c r="M169" s="9" t="n">
        <f aca="false">COUNTIFS($A$15:$A$255,A169,$L$15:$L$255,"&gt;"&amp;L169)+1</f>
        <v>16</v>
      </c>
    </row>
    <row r="170" customFormat="false" ht="32.8" hidden="false" customHeight="false" outlineLevel="0" collapsed="false">
      <c r="A170" s="11" t="s">
        <v>38</v>
      </c>
      <c r="B170" s="8" t="s">
        <v>553</v>
      </c>
      <c r="C170" s="11" t="s">
        <v>554</v>
      </c>
      <c r="D170" s="11" t="s">
        <v>516</v>
      </c>
      <c r="E170" s="11" t="s">
        <v>233</v>
      </c>
      <c r="F170" s="9" t="n">
        <v>1</v>
      </c>
      <c r="G170" s="9" t="n">
        <v>4</v>
      </c>
      <c r="H170" s="9" t="n">
        <v>1</v>
      </c>
      <c r="I170" s="9" t="n">
        <v>2</v>
      </c>
      <c r="J170" s="9" t="n">
        <v>5</v>
      </c>
      <c r="K170" s="15" t="n">
        <v>0</v>
      </c>
      <c r="L170" s="16" t="n">
        <f aca="false">ROUND(SUMPRODUCT(F170:J170,TRANSPOSE($B$6:$B$10))/$B$11+K170,2)</f>
        <v>2.35</v>
      </c>
      <c r="M170" s="9" t="n">
        <f aca="false">COUNTIFS($A$15:$A$255,A170,$L$15:$L$255,"&gt;"&amp;L170)+1</f>
        <v>27</v>
      </c>
    </row>
    <row r="171" customFormat="false" ht="74.6" hidden="false" customHeight="false" outlineLevel="0" collapsed="false">
      <c r="A171" s="11" t="s">
        <v>38</v>
      </c>
      <c r="B171" s="8" t="s">
        <v>555</v>
      </c>
      <c r="C171" s="11" t="s">
        <v>556</v>
      </c>
      <c r="D171" s="11" t="s">
        <v>557</v>
      </c>
      <c r="E171" s="11" t="s">
        <v>181</v>
      </c>
      <c r="F171" s="9" t="n">
        <v>5</v>
      </c>
      <c r="G171" s="9" t="n">
        <v>4</v>
      </c>
      <c r="H171" s="9" t="n">
        <v>3</v>
      </c>
      <c r="I171" s="9" t="n">
        <v>2</v>
      </c>
      <c r="J171" s="9" t="n">
        <v>2</v>
      </c>
      <c r="K171" s="15" t="n">
        <v>0</v>
      </c>
      <c r="L171" s="16" t="n">
        <f aca="false">ROUND(SUMPRODUCT(F171:J171,TRANSPOSE($B$6:$B$10))/$B$11+K171,2)</f>
        <v>3.5</v>
      </c>
      <c r="M171" s="9" t="n">
        <f aca="false">COUNTIFS($A$15:$A$255,A171,$L$15:$L$255,"&gt;"&amp;L171)+1</f>
        <v>5</v>
      </c>
    </row>
    <row r="172" customFormat="false" ht="64.15" hidden="false" customHeight="false" outlineLevel="0" collapsed="false">
      <c r="A172" s="11" t="s">
        <v>38</v>
      </c>
      <c r="B172" s="8" t="s">
        <v>558</v>
      </c>
      <c r="C172" s="11" t="s">
        <v>559</v>
      </c>
      <c r="D172" s="11" t="s">
        <v>183</v>
      </c>
      <c r="E172" s="11" t="s">
        <v>560</v>
      </c>
      <c r="F172" s="9" t="n">
        <v>5</v>
      </c>
      <c r="G172" s="9" t="n">
        <v>4</v>
      </c>
      <c r="H172" s="9" t="n">
        <v>3</v>
      </c>
      <c r="I172" s="9" t="n">
        <v>2</v>
      </c>
      <c r="J172" s="9" t="n">
        <v>1</v>
      </c>
      <c r="K172" s="15" t="n">
        <v>0</v>
      </c>
      <c r="L172" s="16" t="n">
        <f aca="false">ROUND(SUMPRODUCT(F172:J172,TRANSPOSE($B$6:$B$10))/$B$11+K172,2)</f>
        <v>3.35</v>
      </c>
      <c r="M172" s="9" t="n">
        <f aca="false">COUNTIFS($A$15:$A$255,A172,$L$15:$L$255,"&gt;"&amp;L172)+1</f>
        <v>10</v>
      </c>
    </row>
    <row r="173" customFormat="false" ht="43.25" hidden="false" customHeight="false" outlineLevel="0" collapsed="false">
      <c r="A173" s="11" t="s">
        <v>38</v>
      </c>
      <c r="B173" s="8" t="s">
        <v>561</v>
      </c>
      <c r="C173" s="11" t="s">
        <v>562</v>
      </c>
      <c r="D173" s="11" t="s">
        <v>512</v>
      </c>
      <c r="E173" s="11" t="s">
        <v>563</v>
      </c>
      <c r="F173" s="9" t="n">
        <v>5</v>
      </c>
      <c r="G173" s="9" t="n">
        <v>2</v>
      </c>
      <c r="H173" s="9" t="n">
        <v>1</v>
      </c>
      <c r="I173" s="9" t="n">
        <v>1</v>
      </c>
      <c r="J173" s="9" t="n">
        <v>2</v>
      </c>
      <c r="K173" s="15" t="n">
        <v>0</v>
      </c>
      <c r="L173" s="16" t="n">
        <f aca="false">ROUND(SUMPRODUCT(F173:J173,TRANSPOSE($B$6:$B$10))/$B$11+K173,2)</f>
        <v>2.55</v>
      </c>
      <c r="M173" s="9" t="n">
        <f aca="false">COUNTIFS($A$15:$A$255,A173,$L$15:$L$255,"&gt;"&amp;L173)+1</f>
        <v>23</v>
      </c>
    </row>
    <row r="174" customFormat="false" ht="22.35" hidden="false" customHeight="false" outlineLevel="0" collapsed="false">
      <c r="A174" s="11" t="s">
        <v>38</v>
      </c>
      <c r="B174" s="8" t="s">
        <v>564</v>
      </c>
      <c r="C174" s="11" t="s">
        <v>565</v>
      </c>
      <c r="D174" s="11" t="s">
        <v>183</v>
      </c>
      <c r="E174" s="11" t="s">
        <v>233</v>
      </c>
      <c r="F174" s="9" t="n">
        <v>1</v>
      </c>
      <c r="G174" s="9" t="n">
        <v>2</v>
      </c>
      <c r="H174" s="9" t="n">
        <v>1</v>
      </c>
      <c r="I174" s="9" t="n">
        <v>1</v>
      </c>
      <c r="J174" s="9" t="n">
        <v>1</v>
      </c>
      <c r="K174" s="15" t="n">
        <v>0</v>
      </c>
      <c r="L174" s="16" t="n">
        <f aca="false">ROUND(SUMPRODUCT(F174:J174,TRANSPOSE($B$6:$B$10))/$B$11+K174,2)</f>
        <v>1.2</v>
      </c>
      <c r="M174" s="9" t="n">
        <f aca="false">COUNTIFS($A$15:$A$255,A174,$L$15:$L$255,"&gt;"&amp;L174)+1</f>
        <v>37</v>
      </c>
    </row>
    <row r="175" customFormat="false" ht="32.8" hidden="false" customHeight="false" outlineLevel="0" collapsed="false">
      <c r="A175" s="11" t="s">
        <v>38</v>
      </c>
      <c r="B175" s="8" t="s">
        <v>566</v>
      </c>
      <c r="C175" s="11" t="s">
        <v>567</v>
      </c>
      <c r="D175" s="11" t="s">
        <v>323</v>
      </c>
      <c r="E175" s="11" t="s">
        <v>233</v>
      </c>
      <c r="F175" s="9" t="n">
        <v>1</v>
      </c>
      <c r="G175" s="9" t="n">
        <v>4</v>
      </c>
      <c r="H175" s="9" t="n">
        <v>1</v>
      </c>
      <c r="I175" s="9" t="n">
        <v>5</v>
      </c>
      <c r="J175" s="9" t="n">
        <v>5</v>
      </c>
      <c r="K175" s="15" t="n">
        <v>0</v>
      </c>
      <c r="L175" s="16" t="n">
        <f aca="false">ROUND(SUMPRODUCT(F175:J175,TRANSPOSE($B$6:$B$10))/$B$11+K175,2)</f>
        <v>2.8</v>
      </c>
      <c r="M175" s="9" t="n">
        <f aca="false">COUNTIFS($A$15:$A$255,A175,$L$15:$L$255,"&gt;"&amp;L175)+1</f>
        <v>16</v>
      </c>
    </row>
    <row r="176" customFormat="false" ht="32.8" hidden="false" customHeight="false" outlineLevel="0" collapsed="false">
      <c r="A176" s="11" t="s">
        <v>38</v>
      </c>
      <c r="B176" s="8" t="s">
        <v>568</v>
      </c>
      <c r="C176" s="11" t="s">
        <v>569</v>
      </c>
      <c r="D176" s="11" t="s">
        <v>467</v>
      </c>
      <c r="E176" s="11" t="s">
        <v>570</v>
      </c>
      <c r="F176" s="9" t="n">
        <v>3</v>
      </c>
      <c r="G176" s="9" t="n">
        <v>4</v>
      </c>
      <c r="H176" s="9" t="n">
        <v>1</v>
      </c>
      <c r="I176" s="9" t="n">
        <v>5</v>
      </c>
      <c r="J176" s="9" t="n">
        <v>5</v>
      </c>
      <c r="K176" s="15" t="n">
        <v>0</v>
      </c>
      <c r="L176" s="16" t="n">
        <f aca="false">ROUND(SUMPRODUCT(F176:J176,TRANSPOSE($B$6:$B$10))/$B$11+K176,2)</f>
        <v>3.4</v>
      </c>
      <c r="M176" s="9" t="n">
        <f aca="false">COUNTIFS($A$15:$A$255,A176,$L$15:$L$255,"&gt;"&amp;L176)+1</f>
        <v>7</v>
      </c>
    </row>
    <row r="177" customFormat="false" ht="53.7" hidden="false" customHeight="false" outlineLevel="0" collapsed="false">
      <c r="A177" s="11" t="s">
        <v>38</v>
      </c>
      <c r="B177" s="8" t="s">
        <v>571</v>
      </c>
      <c r="C177" s="11" t="s">
        <v>572</v>
      </c>
      <c r="D177" s="11" t="s">
        <v>323</v>
      </c>
      <c r="E177" s="11" t="s">
        <v>233</v>
      </c>
      <c r="F177" s="9" t="n">
        <v>1</v>
      </c>
      <c r="G177" s="9" t="n">
        <v>4</v>
      </c>
      <c r="H177" s="9" t="n">
        <v>3</v>
      </c>
      <c r="I177" s="9" t="n">
        <v>5</v>
      </c>
      <c r="J177" s="9" t="n">
        <v>5</v>
      </c>
      <c r="K177" s="15" t="n">
        <v>0</v>
      </c>
      <c r="L177" s="16" t="n">
        <f aca="false">ROUND(SUMPRODUCT(F177:J177,TRANSPOSE($B$6:$B$10))/$B$11+K177,2)</f>
        <v>3.2</v>
      </c>
      <c r="M177" s="9" t="n">
        <f aca="false">COUNTIFS($A$15:$A$255,A177,$L$15:$L$255,"&gt;"&amp;L177)+1</f>
        <v>13</v>
      </c>
    </row>
    <row r="178" customFormat="false" ht="74.6" hidden="false" customHeight="false" outlineLevel="0" collapsed="false">
      <c r="A178" s="11" t="s">
        <v>38</v>
      </c>
      <c r="B178" s="8" t="s">
        <v>573</v>
      </c>
      <c r="C178" s="11" t="s">
        <v>574</v>
      </c>
      <c r="D178" s="11" t="s">
        <v>323</v>
      </c>
      <c r="E178" s="11" t="s">
        <v>575</v>
      </c>
      <c r="F178" s="9" t="n">
        <v>3</v>
      </c>
      <c r="G178" s="9" t="n">
        <v>4</v>
      </c>
      <c r="H178" s="9" t="n">
        <v>1</v>
      </c>
      <c r="I178" s="9" t="n">
        <v>5</v>
      </c>
      <c r="J178" s="9" t="n">
        <v>5</v>
      </c>
      <c r="K178" s="15" t="n">
        <v>0</v>
      </c>
      <c r="L178" s="16" t="n">
        <f aca="false">ROUND(SUMPRODUCT(F178:J178,TRANSPOSE($B$6:$B$10))/$B$11+K178,2)</f>
        <v>3.4</v>
      </c>
      <c r="M178" s="9" t="n">
        <f aca="false">COUNTIFS($A$15:$A$255,A178,$L$15:$L$255,"&gt;"&amp;L178)+1</f>
        <v>7</v>
      </c>
    </row>
    <row r="179" customFormat="false" ht="53.7" hidden="false" customHeight="false" outlineLevel="0" collapsed="false">
      <c r="A179" s="11" t="s">
        <v>38</v>
      </c>
      <c r="B179" s="8" t="s">
        <v>576</v>
      </c>
      <c r="C179" s="11" t="s">
        <v>577</v>
      </c>
      <c r="D179" s="11" t="s">
        <v>467</v>
      </c>
      <c r="E179" s="11" t="s">
        <v>578</v>
      </c>
      <c r="F179" s="9" t="n">
        <v>3</v>
      </c>
      <c r="G179" s="9" t="n">
        <v>4</v>
      </c>
      <c r="H179" s="9" t="n">
        <v>1</v>
      </c>
      <c r="I179" s="9" t="n">
        <v>5</v>
      </c>
      <c r="J179" s="9" t="n">
        <v>5</v>
      </c>
      <c r="K179" s="15" t="n">
        <v>0</v>
      </c>
      <c r="L179" s="16" t="n">
        <f aca="false">ROUND(SUMPRODUCT(F179:J179,TRANSPOSE($B$6:$B$10))/$B$11+K179,2)</f>
        <v>3.4</v>
      </c>
      <c r="M179" s="9" t="n">
        <f aca="false">COUNTIFS($A$15:$A$255,A179,$L$15:$L$255,"&gt;"&amp;L179)+1</f>
        <v>7</v>
      </c>
    </row>
    <row r="180" customFormat="false" ht="32.8" hidden="false" customHeight="false" outlineLevel="0" collapsed="false">
      <c r="A180" s="11" t="s">
        <v>38</v>
      </c>
      <c r="B180" s="8" t="s">
        <v>579</v>
      </c>
      <c r="C180" s="11" t="s">
        <v>580</v>
      </c>
      <c r="D180" s="11" t="s">
        <v>397</v>
      </c>
      <c r="E180" s="11" t="s">
        <v>581</v>
      </c>
      <c r="F180" s="9" t="n">
        <v>5</v>
      </c>
      <c r="G180" s="9" t="n">
        <v>4</v>
      </c>
      <c r="H180" s="9" t="n">
        <v>1</v>
      </c>
      <c r="I180" s="9" t="n">
        <v>5</v>
      </c>
      <c r="J180" s="9" t="n">
        <v>5</v>
      </c>
      <c r="K180" s="15" t="n">
        <v>0</v>
      </c>
      <c r="L180" s="16" t="n">
        <f aca="false">ROUND(SUMPRODUCT(F180:J180,TRANSPOSE($B$6:$B$10))/$B$11+K180,2)</f>
        <v>4</v>
      </c>
      <c r="M180" s="9" t="n">
        <f aca="false">COUNTIFS($A$15:$A$255,A180,$L$15:$L$255,"&gt;"&amp;L180)+1</f>
        <v>1</v>
      </c>
    </row>
    <row r="181" customFormat="false" ht="32.8" hidden="false" customHeight="false" outlineLevel="0" collapsed="false">
      <c r="A181" s="11" t="s">
        <v>38</v>
      </c>
      <c r="B181" s="8" t="s">
        <v>582</v>
      </c>
      <c r="C181" s="11" t="s">
        <v>583</v>
      </c>
      <c r="D181" s="11" t="s">
        <v>397</v>
      </c>
      <c r="E181" s="11" t="s">
        <v>233</v>
      </c>
      <c r="F181" s="9" t="n">
        <v>1</v>
      </c>
      <c r="G181" s="9" t="n">
        <v>4</v>
      </c>
      <c r="H181" s="9" t="n">
        <v>1</v>
      </c>
      <c r="I181" s="9" t="n">
        <v>5</v>
      </c>
      <c r="J181" s="9" t="n">
        <v>5</v>
      </c>
      <c r="K181" s="15" t="n">
        <v>0</v>
      </c>
      <c r="L181" s="16" t="n">
        <f aca="false">ROUND(SUMPRODUCT(F181:J181,TRANSPOSE($B$6:$B$10))/$B$11+K181,2)</f>
        <v>2.8</v>
      </c>
      <c r="M181" s="9" t="n">
        <f aca="false">COUNTIFS($A$15:$A$255,A181,$L$15:$L$255,"&gt;"&amp;L181)+1</f>
        <v>16</v>
      </c>
    </row>
    <row r="182" customFormat="false" ht="32.8" hidden="false" customHeight="false" outlineLevel="0" collapsed="false">
      <c r="A182" s="11" t="s">
        <v>38</v>
      </c>
      <c r="B182" s="8" t="s">
        <v>584</v>
      </c>
      <c r="C182" s="11" t="s">
        <v>585</v>
      </c>
      <c r="D182" s="11" t="s">
        <v>323</v>
      </c>
      <c r="E182" s="11" t="s">
        <v>586</v>
      </c>
      <c r="F182" s="9" t="n">
        <v>5</v>
      </c>
      <c r="G182" s="9" t="n">
        <v>4</v>
      </c>
      <c r="H182" s="9" t="n">
        <v>1</v>
      </c>
      <c r="I182" s="9" t="n">
        <v>5</v>
      </c>
      <c r="J182" s="9" t="n">
        <v>5</v>
      </c>
      <c r="K182" s="15" t="n">
        <v>0</v>
      </c>
      <c r="L182" s="16" t="n">
        <f aca="false">ROUND(SUMPRODUCT(F182:J182,TRANSPOSE($B$6:$B$10))/$B$11+K182,2)</f>
        <v>4</v>
      </c>
      <c r="M182" s="9" t="n">
        <f aca="false">COUNTIFS($A$15:$A$255,A182,$L$15:$L$255,"&gt;"&amp;L182)+1</f>
        <v>1</v>
      </c>
    </row>
    <row r="183" customFormat="false" ht="22.35" hidden="false" customHeight="false" outlineLevel="0" collapsed="false">
      <c r="A183" s="11" t="s">
        <v>38</v>
      </c>
      <c r="B183" s="8" t="s">
        <v>587</v>
      </c>
      <c r="C183" s="11" t="s">
        <v>588</v>
      </c>
      <c r="D183" s="11" t="s">
        <v>323</v>
      </c>
      <c r="E183" s="11" t="s">
        <v>233</v>
      </c>
      <c r="F183" s="9" t="n">
        <v>1</v>
      </c>
      <c r="G183" s="9" t="n">
        <v>4</v>
      </c>
      <c r="H183" s="9" t="n">
        <v>1</v>
      </c>
      <c r="I183" s="9" t="n">
        <v>5</v>
      </c>
      <c r="J183" s="9" t="n">
        <v>5</v>
      </c>
      <c r="K183" s="15" t="n">
        <v>0</v>
      </c>
      <c r="L183" s="16" t="n">
        <f aca="false">ROUND(SUMPRODUCT(F183:J183,TRANSPOSE($B$6:$B$10))/$B$11+K183,2)</f>
        <v>2.8</v>
      </c>
      <c r="M183" s="9" t="n">
        <f aca="false">COUNTIFS($A$15:$A$255,A183,$L$15:$L$255,"&gt;"&amp;L183)+1</f>
        <v>16</v>
      </c>
    </row>
    <row r="184" customFormat="false" ht="32.8" hidden="false" customHeight="false" outlineLevel="0" collapsed="false">
      <c r="A184" s="11" t="s">
        <v>38</v>
      </c>
      <c r="B184" s="8" t="s">
        <v>589</v>
      </c>
      <c r="C184" s="11" t="s">
        <v>590</v>
      </c>
      <c r="D184" s="11" t="s">
        <v>397</v>
      </c>
      <c r="E184" s="11" t="s">
        <v>233</v>
      </c>
      <c r="F184" s="9" t="n">
        <v>1</v>
      </c>
      <c r="G184" s="9" t="n">
        <v>4</v>
      </c>
      <c r="H184" s="9" t="n">
        <v>1</v>
      </c>
      <c r="I184" s="9" t="n">
        <v>5</v>
      </c>
      <c r="J184" s="9" t="n">
        <v>5</v>
      </c>
      <c r="K184" s="15" t="n">
        <v>0</v>
      </c>
      <c r="L184" s="16" t="n">
        <f aca="false">ROUND(SUMPRODUCT(F184:J184,TRANSPOSE($B$6:$B$10))/$B$11+K184,2)</f>
        <v>2.8</v>
      </c>
      <c r="M184" s="9" t="n">
        <f aca="false">COUNTIFS($A$15:$A$255,A184,$L$15:$L$255,"&gt;"&amp;L184)+1</f>
        <v>16</v>
      </c>
    </row>
    <row r="185" customFormat="false" ht="32.8" hidden="false" customHeight="false" outlineLevel="0" collapsed="false">
      <c r="A185" s="11" t="s">
        <v>40</v>
      </c>
      <c r="B185" s="8" t="s">
        <v>591</v>
      </c>
      <c r="C185" s="11" t="s">
        <v>498</v>
      </c>
      <c r="D185" s="11" t="s">
        <v>183</v>
      </c>
      <c r="E185" s="11" t="s">
        <v>592</v>
      </c>
      <c r="F185" s="9" t="n">
        <v>5</v>
      </c>
      <c r="G185" s="9" t="n">
        <v>5</v>
      </c>
      <c r="H185" s="9" t="n">
        <v>2</v>
      </c>
      <c r="I185" s="9" t="n">
        <v>1</v>
      </c>
      <c r="J185" s="9" t="n">
        <v>1</v>
      </c>
      <c r="K185" s="15" t="n">
        <v>0</v>
      </c>
      <c r="L185" s="16" t="n">
        <f aca="false">ROUND(SUMPRODUCT(F185:J185,TRANSPOSE($B$6:$B$10))/$B$11+K185,2)</f>
        <v>3.2</v>
      </c>
      <c r="M185" s="9" t="n">
        <f aca="false">COUNTIFS($A$15:$A$255,A185,$L$15:$L$255,"&gt;"&amp;L185)+1</f>
        <v>9</v>
      </c>
    </row>
    <row r="186" customFormat="false" ht="22.35" hidden="false" customHeight="false" outlineLevel="0" collapsed="false">
      <c r="A186" s="11" t="s">
        <v>40</v>
      </c>
      <c r="B186" s="8" t="s">
        <v>593</v>
      </c>
      <c r="C186" s="11" t="s">
        <v>594</v>
      </c>
      <c r="D186" s="11" t="s">
        <v>183</v>
      </c>
      <c r="E186" s="11" t="s">
        <v>181</v>
      </c>
      <c r="F186" s="9" t="n">
        <v>5</v>
      </c>
      <c r="G186" s="9" t="n">
        <v>2</v>
      </c>
      <c r="H186" s="9" t="n">
        <v>2</v>
      </c>
      <c r="I186" s="9" t="n">
        <v>1</v>
      </c>
      <c r="J186" s="9" t="n">
        <v>1</v>
      </c>
      <c r="K186" s="15" t="n">
        <v>0</v>
      </c>
      <c r="L186" s="16" t="n">
        <f aca="false">ROUND(SUMPRODUCT(F186:J186,TRANSPOSE($B$6:$B$10))/$B$11+K186,2)</f>
        <v>2.6</v>
      </c>
      <c r="M186" s="9" t="n">
        <f aca="false">COUNTIFS($A$15:$A$255,A186,$L$15:$L$255,"&gt;"&amp;L186)+1</f>
        <v>18</v>
      </c>
    </row>
    <row r="187" customFormat="false" ht="22.35" hidden="false" customHeight="false" outlineLevel="0" collapsed="false">
      <c r="A187" s="11" t="s">
        <v>40</v>
      </c>
      <c r="B187" s="8" t="s">
        <v>595</v>
      </c>
      <c r="C187" s="11" t="s">
        <v>596</v>
      </c>
      <c r="D187" s="11" t="s">
        <v>183</v>
      </c>
      <c r="E187" s="11" t="s">
        <v>597</v>
      </c>
      <c r="F187" s="9" t="n">
        <v>1</v>
      </c>
      <c r="G187" s="9" t="n">
        <v>2</v>
      </c>
      <c r="H187" s="9" t="n">
        <v>2</v>
      </c>
      <c r="I187" s="9" t="n">
        <v>1</v>
      </c>
      <c r="J187" s="9" t="n">
        <v>1</v>
      </c>
      <c r="K187" s="15" t="n">
        <v>0</v>
      </c>
      <c r="L187" s="16" t="n">
        <f aca="false">ROUND(SUMPRODUCT(F187:J187,TRANSPOSE($B$6:$B$10))/$B$11+K187,2)</f>
        <v>1.4</v>
      </c>
      <c r="M187" s="9" t="n">
        <f aca="false">COUNTIFS($A$15:$A$255,A187,$L$15:$L$255,"&gt;"&amp;L187)+1</f>
        <v>26</v>
      </c>
    </row>
    <row r="188" customFormat="false" ht="22.35" hidden="false" customHeight="false" outlineLevel="0" collapsed="false">
      <c r="A188" s="11" t="s">
        <v>40</v>
      </c>
      <c r="B188" s="8" t="s">
        <v>598</v>
      </c>
      <c r="C188" s="11" t="s">
        <v>546</v>
      </c>
      <c r="D188" s="11" t="s">
        <v>183</v>
      </c>
      <c r="E188" s="11" t="s">
        <v>181</v>
      </c>
      <c r="F188" s="9" t="n">
        <v>5</v>
      </c>
      <c r="G188" s="9" t="n">
        <v>2</v>
      </c>
      <c r="H188" s="9" t="n">
        <v>2</v>
      </c>
      <c r="I188" s="9" t="n">
        <v>1</v>
      </c>
      <c r="J188" s="9" t="n">
        <v>1</v>
      </c>
      <c r="K188" s="15" t="n">
        <v>0</v>
      </c>
      <c r="L188" s="16" t="n">
        <f aca="false">ROUND(SUMPRODUCT(F188:J188,TRANSPOSE($B$6:$B$10))/$B$11+K188,2)</f>
        <v>2.6</v>
      </c>
      <c r="M188" s="9" t="n">
        <f aca="false">COUNTIFS($A$15:$A$255,A188,$L$15:$L$255,"&gt;"&amp;L188)+1</f>
        <v>18</v>
      </c>
    </row>
    <row r="189" customFormat="false" ht="22.35" hidden="false" customHeight="false" outlineLevel="0" collapsed="false">
      <c r="A189" s="11" t="s">
        <v>40</v>
      </c>
      <c r="B189" s="8" t="s">
        <v>599</v>
      </c>
      <c r="C189" s="11" t="s">
        <v>600</v>
      </c>
      <c r="D189" s="11" t="s">
        <v>183</v>
      </c>
      <c r="E189" s="11" t="s">
        <v>601</v>
      </c>
      <c r="F189" s="9" t="n">
        <v>2</v>
      </c>
      <c r="G189" s="9" t="n">
        <v>4</v>
      </c>
      <c r="H189" s="9" t="n">
        <v>5</v>
      </c>
      <c r="I189" s="9" t="n">
        <v>1</v>
      </c>
      <c r="J189" s="9" t="n">
        <v>1</v>
      </c>
      <c r="K189" s="15" t="n">
        <v>0</v>
      </c>
      <c r="L189" s="16" t="n">
        <f aca="false">ROUND(SUMPRODUCT(F189:J189,TRANSPOSE($B$6:$B$10))/$B$11+K189,2)</f>
        <v>2.7</v>
      </c>
      <c r="M189" s="9" t="n">
        <f aca="false">COUNTIFS($A$15:$A$255,A189,$L$15:$L$255,"&gt;"&amp;L189)+1</f>
        <v>17</v>
      </c>
    </row>
    <row r="190" customFormat="false" ht="95.5" hidden="false" customHeight="false" outlineLevel="0" collapsed="false">
      <c r="A190" s="11" t="s">
        <v>40</v>
      </c>
      <c r="B190" s="8" t="s">
        <v>602</v>
      </c>
      <c r="C190" s="11" t="s">
        <v>603</v>
      </c>
      <c r="D190" s="11" t="s">
        <v>512</v>
      </c>
      <c r="E190" s="11" t="s">
        <v>604</v>
      </c>
      <c r="F190" s="9" t="n">
        <v>5</v>
      </c>
      <c r="G190" s="9" t="n">
        <v>4</v>
      </c>
      <c r="H190" s="9" t="n">
        <v>3</v>
      </c>
      <c r="I190" s="9" t="n">
        <v>2</v>
      </c>
      <c r="J190" s="9" t="n">
        <v>2</v>
      </c>
      <c r="K190" s="15" t="n">
        <v>0</v>
      </c>
      <c r="L190" s="16" t="n">
        <f aca="false">ROUND(SUMPRODUCT(F190:J190,TRANSPOSE($B$6:$B$10))/$B$11+K190,2)</f>
        <v>3.5</v>
      </c>
      <c r="M190" s="9" t="n">
        <f aca="false">COUNTIFS($A$15:$A$255,A190,$L$15:$L$255,"&gt;"&amp;L190)+1</f>
        <v>6</v>
      </c>
    </row>
    <row r="191" customFormat="false" ht="22.35" hidden="false" customHeight="false" outlineLevel="0" collapsed="false">
      <c r="A191" s="11" t="s">
        <v>40</v>
      </c>
      <c r="B191" s="8" t="s">
        <v>605</v>
      </c>
      <c r="C191" s="11" t="s">
        <v>606</v>
      </c>
      <c r="D191" s="11" t="s">
        <v>183</v>
      </c>
      <c r="E191" s="11" t="s">
        <v>607</v>
      </c>
      <c r="F191" s="9" t="n">
        <v>5</v>
      </c>
      <c r="G191" s="9" t="n">
        <v>4</v>
      </c>
      <c r="H191" s="9" t="n">
        <v>5</v>
      </c>
      <c r="I191" s="9" t="n">
        <v>1</v>
      </c>
      <c r="J191" s="9" t="n">
        <v>1</v>
      </c>
      <c r="K191" s="15" t="n">
        <v>0</v>
      </c>
      <c r="L191" s="16" t="n">
        <f aca="false">ROUND(SUMPRODUCT(F191:J191,TRANSPOSE($B$6:$B$10))/$B$11+K191,2)</f>
        <v>3.6</v>
      </c>
      <c r="M191" s="9" t="n">
        <f aca="false">COUNTIFS($A$15:$A$255,A191,$L$15:$L$255,"&gt;"&amp;L191)+1</f>
        <v>3</v>
      </c>
    </row>
    <row r="192" customFormat="false" ht="43.25" hidden="false" customHeight="false" outlineLevel="0" collapsed="false">
      <c r="A192" s="11" t="s">
        <v>40</v>
      </c>
      <c r="B192" s="8" t="s">
        <v>608</v>
      </c>
      <c r="C192" s="11" t="s">
        <v>609</v>
      </c>
      <c r="D192" s="11" t="s">
        <v>183</v>
      </c>
      <c r="E192" s="11" t="s">
        <v>610</v>
      </c>
      <c r="F192" s="9" t="n">
        <v>5</v>
      </c>
      <c r="G192" s="9" t="n">
        <v>4</v>
      </c>
      <c r="H192" s="9" t="n">
        <v>2</v>
      </c>
      <c r="I192" s="9" t="n">
        <v>2</v>
      </c>
      <c r="J192" s="9" t="n">
        <v>1</v>
      </c>
      <c r="K192" s="15" t="n">
        <v>0</v>
      </c>
      <c r="L192" s="16" t="n">
        <f aca="false">ROUND(SUMPRODUCT(F192:J192,TRANSPOSE($B$6:$B$10))/$B$11+K192,2)</f>
        <v>3.15</v>
      </c>
      <c r="M192" s="9" t="n">
        <f aca="false">COUNTIFS($A$15:$A$255,A192,$L$15:$L$255,"&gt;"&amp;L192)+1</f>
        <v>11</v>
      </c>
    </row>
    <row r="193" customFormat="false" ht="32.8" hidden="false" customHeight="false" outlineLevel="0" collapsed="false">
      <c r="A193" s="11" t="s">
        <v>40</v>
      </c>
      <c r="B193" s="8" t="s">
        <v>611</v>
      </c>
      <c r="C193" s="11" t="s">
        <v>211</v>
      </c>
      <c r="D193" s="11" t="s">
        <v>212</v>
      </c>
      <c r="E193" s="11" t="s">
        <v>612</v>
      </c>
      <c r="F193" s="9" t="n">
        <v>2</v>
      </c>
      <c r="G193" s="9" t="n">
        <v>2</v>
      </c>
      <c r="H193" s="9" t="n">
        <v>2</v>
      </c>
      <c r="I193" s="9" t="n">
        <v>2</v>
      </c>
      <c r="J193" s="9" t="n">
        <v>2</v>
      </c>
      <c r="K193" s="15" t="n">
        <v>0</v>
      </c>
      <c r="L193" s="16" t="n">
        <f aca="false">ROUND(SUMPRODUCT(F193:J193,TRANSPOSE($B$6:$B$10))/$B$11+K193,2)</f>
        <v>2</v>
      </c>
      <c r="M193" s="9" t="n">
        <f aca="false">COUNTIFS($A$15:$A$255,A193,$L$15:$L$255,"&gt;"&amp;L193)+1</f>
        <v>24</v>
      </c>
    </row>
    <row r="194" customFormat="false" ht="32.8" hidden="false" customHeight="false" outlineLevel="0" collapsed="false">
      <c r="A194" s="11" t="s">
        <v>40</v>
      </c>
      <c r="B194" s="8" t="s">
        <v>613</v>
      </c>
      <c r="C194" s="11" t="s">
        <v>614</v>
      </c>
      <c r="D194" s="11" t="s">
        <v>183</v>
      </c>
      <c r="E194" s="11" t="s">
        <v>279</v>
      </c>
      <c r="F194" s="9" t="n">
        <v>2</v>
      </c>
      <c r="G194" s="9" t="n">
        <v>4</v>
      </c>
      <c r="H194" s="9" t="n">
        <v>2</v>
      </c>
      <c r="I194" s="9" t="n">
        <v>1</v>
      </c>
      <c r="J194" s="9" t="n">
        <v>1</v>
      </c>
      <c r="K194" s="15" t="n">
        <v>0</v>
      </c>
      <c r="L194" s="16" t="n">
        <f aca="false">ROUND(SUMPRODUCT(F194:J194,TRANSPOSE($B$6:$B$10))/$B$11+K194,2)</f>
        <v>2.1</v>
      </c>
      <c r="M194" s="9" t="n">
        <f aca="false">COUNTIFS($A$15:$A$255,A194,$L$15:$L$255,"&gt;"&amp;L194)+1</f>
        <v>23</v>
      </c>
    </row>
    <row r="195" customFormat="false" ht="43.25" hidden="false" customHeight="false" outlineLevel="0" collapsed="false">
      <c r="A195" s="11" t="s">
        <v>40</v>
      </c>
      <c r="B195" s="8" t="s">
        <v>615</v>
      </c>
      <c r="C195" s="11" t="s">
        <v>16</v>
      </c>
      <c r="D195" s="11" t="s">
        <v>616</v>
      </c>
      <c r="E195" s="11" t="s">
        <v>233</v>
      </c>
      <c r="F195" s="9" t="n">
        <v>1</v>
      </c>
      <c r="G195" s="9" t="n">
        <v>1</v>
      </c>
      <c r="H195" s="9" t="n">
        <v>2</v>
      </c>
      <c r="I195" s="9" t="n">
        <v>5</v>
      </c>
      <c r="J195" s="9" t="n">
        <v>5</v>
      </c>
      <c r="K195" s="15" t="n">
        <v>0</v>
      </c>
      <c r="L195" s="16" t="n">
        <f aca="false">ROUND(SUMPRODUCT(F195:J195,TRANSPOSE($B$6:$B$10))/$B$11+K195,2)</f>
        <v>2.4</v>
      </c>
      <c r="M195" s="9" t="n">
        <f aca="false">COUNTIFS($A$15:$A$255,A195,$L$15:$L$255,"&gt;"&amp;L195)+1</f>
        <v>21</v>
      </c>
    </row>
    <row r="196" customFormat="false" ht="43.25" hidden="false" customHeight="false" outlineLevel="0" collapsed="false">
      <c r="A196" s="11" t="s">
        <v>40</v>
      </c>
      <c r="B196" s="8" t="s">
        <v>617</v>
      </c>
      <c r="C196" s="11" t="s">
        <v>618</v>
      </c>
      <c r="D196" s="11" t="s">
        <v>616</v>
      </c>
      <c r="E196" s="11" t="s">
        <v>619</v>
      </c>
      <c r="F196" s="9" t="n">
        <v>3</v>
      </c>
      <c r="G196" s="9" t="n">
        <v>1</v>
      </c>
      <c r="H196" s="9" t="n">
        <v>2</v>
      </c>
      <c r="I196" s="9" t="n">
        <v>5</v>
      </c>
      <c r="J196" s="9" t="n">
        <v>5</v>
      </c>
      <c r="K196" s="15" t="n">
        <v>0</v>
      </c>
      <c r="L196" s="16" t="n">
        <f aca="false">ROUND(SUMPRODUCT(F196:J196,TRANSPOSE($B$6:$B$10))/$B$11+K196,2)</f>
        <v>3</v>
      </c>
      <c r="M196" s="9" t="n">
        <f aca="false">COUNTIFS($A$15:$A$255,A196,$L$15:$L$255,"&gt;"&amp;L196)+1</f>
        <v>12</v>
      </c>
    </row>
    <row r="197" customFormat="false" ht="22.35" hidden="false" customHeight="false" outlineLevel="0" collapsed="false">
      <c r="A197" s="11" t="s">
        <v>40</v>
      </c>
      <c r="B197" s="8" t="s">
        <v>620</v>
      </c>
      <c r="C197" s="11" t="s">
        <v>621</v>
      </c>
      <c r="D197" s="11" t="s">
        <v>616</v>
      </c>
      <c r="E197" s="11" t="s">
        <v>233</v>
      </c>
      <c r="F197" s="9" t="n">
        <v>1</v>
      </c>
      <c r="G197" s="9" t="n">
        <v>1</v>
      </c>
      <c r="H197" s="9" t="n">
        <v>2</v>
      </c>
      <c r="I197" s="9" t="n">
        <v>5</v>
      </c>
      <c r="J197" s="9" t="n">
        <v>5</v>
      </c>
      <c r="K197" s="15" t="n">
        <v>0</v>
      </c>
      <c r="L197" s="16" t="n">
        <f aca="false">ROUND(SUMPRODUCT(F197:J197,TRANSPOSE($B$6:$B$10))/$B$11+K197,2)</f>
        <v>2.4</v>
      </c>
      <c r="M197" s="9" t="n">
        <f aca="false">COUNTIFS($A$15:$A$255,A197,$L$15:$L$255,"&gt;"&amp;L197)+1</f>
        <v>21</v>
      </c>
    </row>
    <row r="198" customFormat="false" ht="32.8" hidden="false" customHeight="false" outlineLevel="0" collapsed="false">
      <c r="A198" s="11" t="s">
        <v>40</v>
      </c>
      <c r="B198" s="8" t="s">
        <v>622</v>
      </c>
      <c r="C198" s="11" t="s">
        <v>623</v>
      </c>
      <c r="D198" s="11" t="s">
        <v>616</v>
      </c>
      <c r="E198" s="11" t="s">
        <v>233</v>
      </c>
      <c r="F198" s="9" t="n">
        <v>1</v>
      </c>
      <c r="G198" s="9" t="n">
        <v>4</v>
      </c>
      <c r="H198" s="9" t="n">
        <v>2</v>
      </c>
      <c r="I198" s="9" t="n">
        <v>5</v>
      </c>
      <c r="J198" s="9" t="n">
        <v>5</v>
      </c>
      <c r="K198" s="15" t="n">
        <v>0</v>
      </c>
      <c r="L198" s="16" t="n">
        <f aca="false">ROUND(SUMPRODUCT(F198:J198,TRANSPOSE($B$6:$B$10))/$B$11+K198,2)</f>
        <v>3</v>
      </c>
      <c r="M198" s="9" t="n">
        <f aca="false">COUNTIFS($A$15:$A$255,A198,$L$15:$L$255,"&gt;"&amp;L198)+1</f>
        <v>12</v>
      </c>
    </row>
    <row r="199" customFormat="false" ht="22.35" hidden="false" customHeight="false" outlineLevel="0" collapsed="false">
      <c r="A199" s="11" t="s">
        <v>40</v>
      </c>
      <c r="B199" s="8" t="s">
        <v>624</v>
      </c>
      <c r="C199" s="11" t="s">
        <v>543</v>
      </c>
      <c r="D199" s="11" t="s">
        <v>183</v>
      </c>
      <c r="E199" s="11" t="s">
        <v>181</v>
      </c>
      <c r="F199" s="9" t="n">
        <v>5</v>
      </c>
      <c r="G199" s="9" t="n">
        <v>2</v>
      </c>
      <c r="H199" s="9" t="n">
        <v>2</v>
      </c>
      <c r="I199" s="9" t="n">
        <v>2</v>
      </c>
      <c r="J199" s="9" t="n">
        <v>1</v>
      </c>
      <c r="K199" s="15" t="n">
        <v>0</v>
      </c>
      <c r="L199" s="16" t="n">
        <f aca="false">ROUND(SUMPRODUCT(F199:J199,TRANSPOSE($B$6:$B$10))/$B$11+K199,2)</f>
        <v>2.75</v>
      </c>
      <c r="M199" s="9" t="n">
        <f aca="false">COUNTIFS($A$15:$A$255,A199,$L$15:$L$255,"&gt;"&amp;L199)+1</f>
        <v>16</v>
      </c>
    </row>
    <row r="200" customFormat="false" ht="43.25" hidden="false" customHeight="false" outlineLevel="0" collapsed="false">
      <c r="A200" s="11" t="s">
        <v>40</v>
      </c>
      <c r="B200" s="8" t="s">
        <v>625</v>
      </c>
      <c r="C200" s="11" t="s">
        <v>626</v>
      </c>
      <c r="D200" s="11" t="s">
        <v>183</v>
      </c>
      <c r="E200" s="11" t="s">
        <v>627</v>
      </c>
      <c r="F200" s="9" t="n">
        <v>1</v>
      </c>
      <c r="G200" s="9" t="n">
        <v>1</v>
      </c>
      <c r="H200" s="9" t="n">
        <v>2</v>
      </c>
      <c r="I200" s="9" t="n">
        <v>1</v>
      </c>
      <c r="J200" s="9" t="n">
        <v>1</v>
      </c>
      <c r="K200" s="15" t="n">
        <v>0</v>
      </c>
      <c r="L200" s="16" t="n">
        <f aca="false">ROUND(SUMPRODUCT(F200:J200,TRANSPOSE($B$6:$B$10))/$B$11+K200,2)</f>
        <v>1.2</v>
      </c>
      <c r="M200" s="9" t="n">
        <f aca="false">COUNTIFS($A$15:$A$255,A200,$L$15:$L$255,"&gt;"&amp;L200)+1</f>
        <v>28</v>
      </c>
    </row>
    <row r="201" customFormat="false" ht="22.35" hidden="false" customHeight="false" outlineLevel="0" collapsed="false">
      <c r="A201" s="11" t="s">
        <v>40</v>
      </c>
      <c r="B201" s="8" t="s">
        <v>628</v>
      </c>
      <c r="C201" s="11" t="s">
        <v>629</v>
      </c>
      <c r="D201" s="11" t="s">
        <v>183</v>
      </c>
      <c r="E201" s="11" t="s">
        <v>279</v>
      </c>
      <c r="F201" s="9" t="n">
        <v>2</v>
      </c>
      <c r="G201" s="9" t="n">
        <v>2</v>
      </c>
      <c r="H201" s="9" t="n">
        <v>2</v>
      </c>
      <c r="I201" s="9" t="n">
        <v>1</v>
      </c>
      <c r="J201" s="9" t="n">
        <v>1</v>
      </c>
      <c r="K201" s="15" t="n">
        <v>0</v>
      </c>
      <c r="L201" s="16" t="n">
        <f aca="false">ROUND(SUMPRODUCT(F201:J201,TRANSPOSE($B$6:$B$10))/$B$11+K201,2)</f>
        <v>1.7</v>
      </c>
      <c r="M201" s="9" t="n">
        <f aca="false">COUNTIFS($A$15:$A$255,A201,$L$15:$L$255,"&gt;"&amp;L201)+1</f>
        <v>25</v>
      </c>
    </row>
    <row r="202" customFormat="false" ht="32.8" hidden="false" customHeight="false" outlineLevel="0" collapsed="false">
      <c r="A202" s="11" t="s">
        <v>40</v>
      </c>
      <c r="B202" s="8" t="s">
        <v>630</v>
      </c>
      <c r="C202" s="11" t="s">
        <v>631</v>
      </c>
      <c r="D202" s="11" t="s">
        <v>212</v>
      </c>
      <c r="E202" s="11" t="s">
        <v>632</v>
      </c>
      <c r="F202" s="9" t="n">
        <v>5</v>
      </c>
      <c r="G202" s="9" t="n">
        <v>4</v>
      </c>
      <c r="H202" s="9" t="n">
        <v>3</v>
      </c>
      <c r="I202" s="9" t="n">
        <v>5</v>
      </c>
      <c r="J202" s="9" t="n">
        <v>2</v>
      </c>
      <c r="K202" s="15" t="n">
        <v>0</v>
      </c>
      <c r="L202" s="16" t="n">
        <f aca="false">ROUND(SUMPRODUCT(F202:J202,TRANSPOSE($B$6:$B$10))/$B$11+K202,2)</f>
        <v>3.95</v>
      </c>
      <c r="M202" s="9" t="n">
        <f aca="false">COUNTIFS($A$15:$A$255,A202,$L$15:$L$255,"&gt;"&amp;L202)+1</f>
        <v>2</v>
      </c>
    </row>
    <row r="203" customFormat="false" ht="53.7" hidden="false" customHeight="false" outlineLevel="0" collapsed="false">
      <c r="A203" s="11" t="s">
        <v>40</v>
      </c>
      <c r="B203" s="8" t="s">
        <v>633</v>
      </c>
      <c r="C203" s="11" t="s">
        <v>546</v>
      </c>
      <c r="D203" s="11" t="s">
        <v>183</v>
      </c>
      <c r="E203" s="11" t="s">
        <v>634</v>
      </c>
      <c r="F203" s="9" t="n">
        <v>5</v>
      </c>
      <c r="G203" s="9" t="n">
        <v>4</v>
      </c>
      <c r="H203" s="9" t="n">
        <v>5</v>
      </c>
      <c r="I203" s="9" t="n">
        <v>5</v>
      </c>
      <c r="J203" s="9" t="n">
        <v>1</v>
      </c>
      <c r="K203" s="15" t="n">
        <v>0</v>
      </c>
      <c r="L203" s="16" t="n">
        <f aca="false">ROUND(SUMPRODUCT(F203:J203,TRANSPOSE($B$6:$B$10))/$B$11+K203,2)</f>
        <v>4.2</v>
      </c>
      <c r="M203" s="9" t="n">
        <f aca="false">COUNTIFS($A$15:$A$255,A203,$L$15:$L$255,"&gt;"&amp;L203)+1</f>
        <v>1</v>
      </c>
    </row>
    <row r="204" customFormat="false" ht="43.25" hidden="false" customHeight="false" outlineLevel="0" collapsed="false">
      <c r="A204" s="11" t="s">
        <v>40</v>
      </c>
      <c r="B204" s="8" t="s">
        <v>635</v>
      </c>
      <c r="C204" s="11" t="s">
        <v>636</v>
      </c>
      <c r="D204" s="11" t="s">
        <v>183</v>
      </c>
      <c r="E204" s="11" t="s">
        <v>637</v>
      </c>
      <c r="F204" s="9" t="n">
        <v>5</v>
      </c>
      <c r="G204" s="9" t="n">
        <v>2</v>
      </c>
      <c r="H204" s="9" t="n">
        <v>5</v>
      </c>
      <c r="I204" s="9" t="n">
        <v>1</v>
      </c>
      <c r="J204" s="9" t="n">
        <v>1</v>
      </c>
      <c r="K204" s="15" t="n">
        <v>0</v>
      </c>
      <c r="L204" s="16" t="n">
        <f aca="false">ROUND(SUMPRODUCT(F204:J204,TRANSPOSE($B$6:$B$10))/$B$11+K204,2)</f>
        <v>3.2</v>
      </c>
      <c r="M204" s="9" t="n">
        <f aca="false">COUNTIFS($A$15:$A$255,A204,$L$15:$L$255,"&gt;"&amp;L204)+1</f>
        <v>9</v>
      </c>
    </row>
    <row r="205" customFormat="false" ht="22.35" hidden="false" customHeight="false" outlineLevel="0" collapsed="false">
      <c r="A205" s="11" t="s">
        <v>40</v>
      </c>
      <c r="B205" s="8" t="s">
        <v>638</v>
      </c>
      <c r="C205" s="11" t="s">
        <v>551</v>
      </c>
      <c r="D205" s="11" t="s">
        <v>183</v>
      </c>
      <c r="E205" s="11" t="s">
        <v>181</v>
      </c>
      <c r="F205" s="9" t="n">
        <v>5</v>
      </c>
      <c r="G205" s="9" t="n">
        <v>2</v>
      </c>
      <c r="H205" s="9" t="n">
        <v>2</v>
      </c>
      <c r="I205" s="9" t="n">
        <v>1</v>
      </c>
      <c r="J205" s="9" t="n">
        <v>1</v>
      </c>
      <c r="K205" s="15" t="n">
        <v>0</v>
      </c>
      <c r="L205" s="16" t="n">
        <f aca="false">ROUND(SUMPRODUCT(F205:J205,TRANSPOSE($B$6:$B$10))/$B$11+K205,2)</f>
        <v>2.6</v>
      </c>
      <c r="M205" s="9" t="n">
        <f aca="false">COUNTIFS($A$15:$A$255,A205,$L$15:$L$255,"&gt;"&amp;L205)+1</f>
        <v>18</v>
      </c>
    </row>
    <row r="206" customFormat="false" ht="43.25" hidden="false" customHeight="false" outlineLevel="0" collapsed="false">
      <c r="A206" s="11" t="s">
        <v>40</v>
      </c>
      <c r="B206" s="8" t="s">
        <v>639</v>
      </c>
      <c r="C206" s="11" t="s">
        <v>640</v>
      </c>
      <c r="D206" s="11" t="s">
        <v>183</v>
      </c>
      <c r="E206" s="11" t="s">
        <v>641</v>
      </c>
      <c r="F206" s="9" t="n">
        <v>5</v>
      </c>
      <c r="G206" s="9" t="n">
        <v>4</v>
      </c>
      <c r="H206" s="9" t="n">
        <v>5</v>
      </c>
      <c r="I206" s="9" t="n">
        <v>1</v>
      </c>
      <c r="J206" s="9" t="n">
        <v>1</v>
      </c>
      <c r="K206" s="15" t="n">
        <v>0</v>
      </c>
      <c r="L206" s="16" t="n">
        <f aca="false">ROUND(SUMPRODUCT(F206:J206,TRANSPOSE($B$6:$B$10))/$B$11+K206,2)</f>
        <v>3.6</v>
      </c>
      <c r="M206" s="9" t="n">
        <f aca="false">COUNTIFS($A$15:$A$255,A206,$L$15:$L$255,"&gt;"&amp;L206)+1</f>
        <v>3</v>
      </c>
    </row>
    <row r="207" customFormat="false" ht="32.8" hidden="false" customHeight="false" outlineLevel="0" collapsed="false">
      <c r="A207" s="11" t="s">
        <v>40</v>
      </c>
      <c r="B207" s="8" t="s">
        <v>642</v>
      </c>
      <c r="C207" s="11" t="s">
        <v>643</v>
      </c>
      <c r="D207" s="11" t="s">
        <v>183</v>
      </c>
      <c r="E207" s="11" t="s">
        <v>233</v>
      </c>
      <c r="F207" s="9" t="n">
        <v>1</v>
      </c>
      <c r="G207" s="9" t="n">
        <v>2</v>
      </c>
      <c r="H207" s="9" t="n">
        <v>2</v>
      </c>
      <c r="I207" s="9" t="n">
        <v>1</v>
      </c>
      <c r="J207" s="9" t="n">
        <v>1</v>
      </c>
      <c r="K207" s="15" t="n">
        <v>0</v>
      </c>
      <c r="L207" s="16" t="n">
        <f aca="false">ROUND(SUMPRODUCT(F207:J207,TRANSPOSE($B$6:$B$10))/$B$11+K207,2)</f>
        <v>1.4</v>
      </c>
      <c r="M207" s="9" t="n">
        <f aca="false">COUNTIFS($A$15:$A$255,A207,$L$15:$L$255,"&gt;"&amp;L207)+1</f>
        <v>26</v>
      </c>
    </row>
    <row r="208" customFormat="false" ht="53.7" hidden="false" customHeight="false" outlineLevel="0" collapsed="false">
      <c r="A208" s="11" t="s">
        <v>40</v>
      </c>
      <c r="B208" s="8" t="s">
        <v>644</v>
      </c>
      <c r="C208" s="11" t="s">
        <v>645</v>
      </c>
      <c r="D208" s="11" t="s">
        <v>646</v>
      </c>
      <c r="E208" s="11" t="s">
        <v>647</v>
      </c>
      <c r="F208" s="9" t="n">
        <v>5</v>
      </c>
      <c r="G208" s="9" t="n">
        <v>4</v>
      </c>
      <c r="H208" s="9" t="n">
        <v>2</v>
      </c>
      <c r="I208" s="9" t="n">
        <v>2</v>
      </c>
      <c r="J208" s="9" t="n">
        <v>3</v>
      </c>
      <c r="K208" s="15" t="n">
        <v>0</v>
      </c>
      <c r="L208" s="16" t="n">
        <f aca="false">ROUND(SUMPRODUCT(F208:J208,TRANSPOSE($B$6:$B$10))/$B$11+K208,2)</f>
        <v>3.45</v>
      </c>
      <c r="M208" s="9" t="n">
        <f aca="false">COUNTIFS($A$15:$A$255,A208,$L$15:$L$255,"&gt;"&amp;L208)+1</f>
        <v>8</v>
      </c>
    </row>
    <row r="209" customFormat="false" ht="64.15" hidden="false" customHeight="false" outlineLevel="0" collapsed="false">
      <c r="A209" s="11" t="s">
        <v>40</v>
      </c>
      <c r="B209" s="8" t="s">
        <v>648</v>
      </c>
      <c r="C209" s="11" t="s">
        <v>649</v>
      </c>
      <c r="D209" s="11" t="s">
        <v>650</v>
      </c>
      <c r="E209" s="11" t="s">
        <v>651</v>
      </c>
      <c r="F209" s="9" t="n">
        <v>3</v>
      </c>
      <c r="G209" s="9" t="n">
        <v>5</v>
      </c>
      <c r="H209" s="9" t="n">
        <v>2</v>
      </c>
      <c r="I209" s="9" t="n">
        <v>3</v>
      </c>
      <c r="J209" s="9" t="n">
        <v>5</v>
      </c>
      <c r="K209" s="15" t="n">
        <v>0</v>
      </c>
      <c r="L209" s="16" t="n">
        <f aca="false">ROUND(SUMPRODUCT(F209:J209,TRANSPOSE($B$6:$B$10))/$B$11+K209,2)</f>
        <v>3.5</v>
      </c>
      <c r="M209" s="9" t="n">
        <f aca="false">COUNTIFS($A$15:$A$255,A209,$L$15:$L$255,"&gt;"&amp;L209)+1</f>
        <v>6</v>
      </c>
    </row>
    <row r="210" customFormat="false" ht="22.35" hidden="false" customHeight="false" outlineLevel="0" collapsed="false">
      <c r="A210" s="11" t="s">
        <v>40</v>
      </c>
      <c r="B210" s="8" t="s">
        <v>652</v>
      </c>
      <c r="C210" s="11" t="s">
        <v>653</v>
      </c>
      <c r="D210" s="11" t="s">
        <v>467</v>
      </c>
      <c r="E210" s="11" t="s">
        <v>491</v>
      </c>
      <c r="F210" s="9" t="n">
        <v>3</v>
      </c>
      <c r="G210" s="9" t="n">
        <v>4</v>
      </c>
      <c r="H210" s="9" t="n">
        <v>2</v>
      </c>
      <c r="I210" s="9" t="n">
        <v>5</v>
      </c>
      <c r="J210" s="9" t="n">
        <v>5</v>
      </c>
      <c r="K210" s="15" t="n">
        <v>0</v>
      </c>
      <c r="L210" s="16" t="n">
        <f aca="false">ROUND(SUMPRODUCT(F210:J210,TRANSPOSE($B$6:$B$10))/$B$11+K210,2)</f>
        <v>3.6</v>
      </c>
      <c r="M210" s="9" t="n">
        <f aca="false">COUNTIFS($A$15:$A$255,A210,$L$15:$L$255,"&gt;"&amp;L210)+1</f>
        <v>3</v>
      </c>
    </row>
    <row r="211" customFormat="false" ht="22.35" hidden="false" customHeight="false" outlineLevel="0" collapsed="false">
      <c r="A211" s="11" t="s">
        <v>40</v>
      </c>
      <c r="B211" s="8" t="s">
        <v>654</v>
      </c>
      <c r="C211" s="11" t="s">
        <v>655</v>
      </c>
      <c r="D211" s="11" t="s">
        <v>467</v>
      </c>
      <c r="E211" s="11" t="s">
        <v>233</v>
      </c>
      <c r="F211" s="9" t="n">
        <v>1</v>
      </c>
      <c r="G211" s="9" t="n">
        <v>4</v>
      </c>
      <c r="H211" s="9" t="n">
        <v>2</v>
      </c>
      <c r="I211" s="9" t="n">
        <v>5</v>
      </c>
      <c r="J211" s="9" t="n">
        <v>5</v>
      </c>
      <c r="K211" s="15" t="n">
        <v>0</v>
      </c>
      <c r="L211" s="16" t="n">
        <f aca="false">ROUND(SUMPRODUCT(F211:J211,TRANSPOSE($B$6:$B$10))/$B$11+K211,2)</f>
        <v>3</v>
      </c>
      <c r="M211" s="9" t="n">
        <f aca="false">COUNTIFS($A$15:$A$255,A211,$L$15:$L$255,"&gt;"&amp;L211)+1</f>
        <v>12</v>
      </c>
    </row>
    <row r="212" customFormat="false" ht="22.35" hidden="false" customHeight="false" outlineLevel="0" collapsed="false">
      <c r="A212" s="11" t="s">
        <v>40</v>
      </c>
      <c r="B212" s="8" t="s">
        <v>656</v>
      </c>
      <c r="C212" s="11" t="s">
        <v>657</v>
      </c>
      <c r="D212" s="11" t="s">
        <v>467</v>
      </c>
      <c r="E212" s="11" t="s">
        <v>233</v>
      </c>
      <c r="F212" s="9" t="n">
        <v>1</v>
      </c>
      <c r="G212" s="9" t="n">
        <v>4</v>
      </c>
      <c r="H212" s="9" t="n">
        <v>2</v>
      </c>
      <c r="I212" s="9" t="n">
        <v>5</v>
      </c>
      <c r="J212" s="9" t="n">
        <v>5</v>
      </c>
      <c r="K212" s="15" t="n">
        <v>0</v>
      </c>
      <c r="L212" s="16" t="n">
        <f aca="false">ROUND(SUMPRODUCT(F212:J212,TRANSPOSE($B$6:$B$10))/$B$11+K212,2)</f>
        <v>3</v>
      </c>
      <c r="M212" s="9" t="n">
        <f aca="false">COUNTIFS($A$15:$A$255,A212,$L$15:$L$255,"&gt;"&amp;L212)+1</f>
        <v>12</v>
      </c>
    </row>
    <row r="213" customFormat="false" ht="43.25" hidden="false" customHeight="false" outlineLevel="0" collapsed="false">
      <c r="A213" s="11" t="s">
        <v>42</v>
      </c>
      <c r="B213" s="8" t="s">
        <v>178</v>
      </c>
      <c r="C213" s="11" t="s">
        <v>179</v>
      </c>
      <c r="D213" s="11" t="s">
        <v>658</v>
      </c>
      <c r="E213" s="11" t="s">
        <v>659</v>
      </c>
      <c r="F213" s="9" t="n">
        <v>5</v>
      </c>
      <c r="G213" s="9" t="n">
        <v>5</v>
      </c>
      <c r="H213" s="9" t="n">
        <v>1</v>
      </c>
      <c r="I213" s="9" t="n">
        <v>5</v>
      </c>
      <c r="J213" s="9" t="n">
        <v>2</v>
      </c>
      <c r="K213" s="15" t="n">
        <v>0</v>
      </c>
      <c r="L213" s="16" t="n">
        <f aca="false">ROUND(SUMPRODUCT(F213:J213,TRANSPOSE($B$6:$B$10))/$B$11+K213,2)</f>
        <v>3.75</v>
      </c>
      <c r="M213" s="9" t="n">
        <f aca="false">COUNTIFS($A$15:$A$255,A213,$L$15:$L$255,"&gt;"&amp;L213)+1</f>
        <v>5</v>
      </c>
    </row>
    <row r="214" customFormat="false" ht="22.35" hidden="false" customHeight="false" outlineLevel="0" collapsed="false">
      <c r="A214" s="11" t="s">
        <v>42</v>
      </c>
      <c r="B214" s="8" t="s">
        <v>660</v>
      </c>
      <c r="C214" s="11" t="s">
        <v>182</v>
      </c>
      <c r="D214" s="11" t="s">
        <v>183</v>
      </c>
      <c r="E214" s="11" t="s">
        <v>661</v>
      </c>
      <c r="F214" s="9" t="n">
        <v>2</v>
      </c>
      <c r="G214" s="9" t="n">
        <v>2</v>
      </c>
      <c r="H214" s="9" t="n">
        <v>1</v>
      </c>
      <c r="I214" s="9" t="n">
        <v>1</v>
      </c>
      <c r="J214" s="9" t="n">
        <v>1</v>
      </c>
      <c r="K214" s="15" t="n">
        <v>0</v>
      </c>
      <c r="L214" s="16" t="n">
        <f aca="false">ROUND(SUMPRODUCT(F214:J214,TRANSPOSE($B$6:$B$10))/$B$11+K214,2)</f>
        <v>1.5</v>
      </c>
      <c r="M214" s="9" t="n">
        <f aca="false">COUNTIFS($A$15:$A$255,A214,$L$15:$L$255,"&gt;"&amp;L214)+1</f>
        <v>41</v>
      </c>
    </row>
    <row r="215" customFormat="false" ht="32.8" hidden="false" customHeight="false" outlineLevel="0" collapsed="false">
      <c r="A215" s="11" t="s">
        <v>42</v>
      </c>
      <c r="B215" s="8" t="s">
        <v>662</v>
      </c>
      <c r="C215" s="11" t="s">
        <v>663</v>
      </c>
      <c r="D215" s="11" t="s">
        <v>183</v>
      </c>
      <c r="E215" s="11" t="s">
        <v>664</v>
      </c>
      <c r="F215" s="9" t="n">
        <v>5</v>
      </c>
      <c r="G215" s="9" t="n">
        <v>2</v>
      </c>
      <c r="H215" s="9" t="n">
        <v>5</v>
      </c>
      <c r="I215" s="9" t="n">
        <v>1</v>
      </c>
      <c r="J215" s="9" t="n">
        <v>1</v>
      </c>
      <c r="K215" s="15" t="n">
        <v>0</v>
      </c>
      <c r="L215" s="16" t="n">
        <f aca="false">ROUND(SUMPRODUCT(F215:J215,TRANSPOSE($B$6:$B$10))/$B$11+K215,2)</f>
        <v>3.2</v>
      </c>
      <c r="M215" s="9" t="n">
        <f aca="false">COUNTIFS($A$15:$A$255,A215,$L$15:$L$255,"&gt;"&amp;L215)+1</f>
        <v>17</v>
      </c>
    </row>
    <row r="216" customFormat="false" ht="22.35" hidden="false" customHeight="false" outlineLevel="0" collapsed="false">
      <c r="A216" s="11" t="s">
        <v>42</v>
      </c>
      <c r="B216" s="8" t="s">
        <v>665</v>
      </c>
      <c r="C216" s="11" t="s">
        <v>498</v>
      </c>
      <c r="D216" s="11" t="s">
        <v>183</v>
      </c>
      <c r="E216" s="11" t="s">
        <v>666</v>
      </c>
      <c r="F216" s="9" t="n">
        <v>5</v>
      </c>
      <c r="G216" s="9" t="n">
        <v>5</v>
      </c>
      <c r="H216" s="9" t="n">
        <v>1</v>
      </c>
      <c r="I216" s="9" t="n">
        <v>1</v>
      </c>
      <c r="J216" s="9" t="n">
        <v>1</v>
      </c>
      <c r="K216" s="15" t="n">
        <v>0</v>
      </c>
      <c r="L216" s="16" t="n">
        <f aca="false">ROUND(SUMPRODUCT(F216:J216,TRANSPOSE($B$6:$B$10))/$B$11+K216,2)</f>
        <v>3</v>
      </c>
      <c r="M216" s="9" t="n">
        <f aca="false">COUNTIFS($A$15:$A$255,A216,$L$15:$L$255,"&gt;"&amp;L216)+1</f>
        <v>24</v>
      </c>
    </row>
    <row r="217" customFormat="false" ht="32.8" hidden="false" customHeight="false" outlineLevel="0" collapsed="false">
      <c r="A217" s="11" t="s">
        <v>42</v>
      </c>
      <c r="B217" s="8" t="s">
        <v>667</v>
      </c>
      <c r="C217" s="11" t="s">
        <v>594</v>
      </c>
      <c r="D217" s="11" t="s">
        <v>183</v>
      </c>
      <c r="E217" s="11" t="s">
        <v>668</v>
      </c>
      <c r="F217" s="9" t="n">
        <v>5</v>
      </c>
      <c r="G217" s="9" t="n">
        <v>4</v>
      </c>
      <c r="H217" s="9" t="n">
        <v>5</v>
      </c>
      <c r="I217" s="9" t="n">
        <v>2</v>
      </c>
      <c r="J217" s="9" t="n">
        <v>1</v>
      </c>
      <c r="K217" s="15" t="n">
        <v>0</v>
      </c>
      <c r="L217" s="16" t="n">
        <f aca="false">ROUND(SUMPRODUCT(F217:J217,TRANSPOSE($B$6:$B$10))/$B$11+K217,2)</f>
        <v>3.75</v>
      </c>
      <c r="M217" s="9" t="n">
        <f aca="false">COUNTIFS($A$15:$A$255,A217,$L$15:$L$255,"&gt;"&amp;L217)+1</f>
        <v>5</v>
      </c>
    </row>
    <row r="218" customFormat="false" ht="53.7" hidden="false" customHeight="false" outlineLevel="0" collapsed="false">
      <c r="A218" s="11" t="s">
        <v>42</v>
      </c>
      <c r="B218" s="8" t="s">
        <v>669</v>
      </c>
      <c r="C218" s="11" t="s">
        <v>670</v>
      </c>
      <c r="D218" s="11" t="s">
        <v>183</v>
      </c>
      <c r="E218" s="11" t="s">
        <v>671</v>
      </c>
      <c r="F218" s="9" t="n">
        <v>5</v>
      </c>
      <c r="G218" s="9" t="n">
        <v>5</v>
      </c>
      <c r="H218" s="9" t="n">
        <v>5</v>
      </c>
      <c r="I218" s="9" t="n">
        <v>2</v>
      </c>
      <c r="J218" s="9" t="n">
        <v>1</v>
      </c>
      <c r="K218" s="15" t="n">
        <v>0</v>
      </c>
      <c r="L218" s="16" t="n">
        <f aca="false">ROUND(SUMPRODUCT(F218:J218,TRANSPOSE($B$6:$B$10))/$B$11+K218,2)</f>
        <v>3.95</v>
      </c>
      <c r="M218" s="9" t="n">
        <f aca="false">COUNTIFS($A$15:$A$255,A218,$L$15:$L$255,"&gt;"&amp;L218)+1</f>
        <v>2</v>
      </c>
    </row>
    <row r="219" customFormat="false" ht="32.8" hidden="false" customHeight="false" outlineLevel="0" collapsed="false">
      <c r="A219" s="11" t="s">
        <v>42</v>
      </c>
      <c r="B219" s="8" t="s">
        <v>72</v>
      </c>
      <c r="C219" s="11" t="s">
        <v>672</v>
      </c>
      <c r="D219" s="11" t="s">
        <v>183</v>
      </c>
      <c r="E219" s="11" t="s">
        <v>673</v>
      </c>
      <c r="F219" s="9" t="n">
        <v>5</v>
      </c>
      <c r="G219" s="9" t="n">
        <v>4</v>
      </c>
      <c r="H219" s="9" t="n">
        <v>5</v>
      </c>
      <c r="I219" s="9" t="n">
        <v>2</v>
      </c>
      <c r="J219" s="9" t="n">
        <v>1</v>
      </c>
      <c r="K219" s="15" t="n">
        <v>0</v>
      </c>
      <c r="L219" s="16" t="n">
        <f aca="false">ROUND(SUMPRODUCT(F219:J219,TRANSPOSE($B$6:$B$10))/$B$11+K219,2)</f>
        <v>3.75</v>
      </c>
      <c r="M219" s="9" t="n">
        <f aca="false">COUNTIFS($A$15:$A$255,A219,$L$15:$L$255,"&gt;"&amp;L219)+1</f>
        <v>5</v>
      </c>
    </row>
    <row r="220" customFormat="false" ht="43.25" hidden="false" customHeight="false" outlineLevel="0" collapsed="false">
      <c r="A220" s="11" t="s">
        <v>42</v>
      </c>
      <c r="B220" s="8" t="s">
        <v>674</v>
      </c>
      <c r="C220" s="11" t="s">
        <v>675</v>
      </c>
      <c r="D220" s="11" t="s">
        <v>183</v>
      </c>
      <c r="E220" s="11" t="s">
        <v>676</v>
      </c>
      <c r="F220" s="9" t="n">
        <v>5</v>
      </c>
      <c r="G220" s="9" t="n">
        <v>2</v>
      </c>
      <c r="H220" s="9" t="n">
        <v>1</v>
      </c>
      <c r="I220" s="9" t="n">
        <v>1</v>
      </c>
      <c r="J220" s="9" t="n">
        <v>1</v>
      </c>
      <c r="K220" s="15" t="n">
        <v>0</v>
      </c>
      <c r="L220" s="16" t="n">
        <f aca="false">ROUND(SUMPRODUCT(F220:J220,TRANSPOSE($B$6:$B$10))/$B$11+K220,2)</f>
        <v>2.4</v>
      </c>
      <c r="M220" s="9" t="n">
        <f aca="false">COUNTIFS($A$15:$A$255,A220,$L$15:$L$255,"&gt;"&amp;L220)+1</f>
        <v>32</v>
      </c>
    </row>
    <row r="221" customFormat="false" ht="32.8" hidden="false" customHeight="false" outlineLevel="0" collapsed="false">
      <c r="A221" s="11" t="s">
        <v>42</v>
      </c>
      <c r="B221" s="8" t="s">
        <v>677</v>
      </c>
      <c r="C221" s="11" t="s">
        <v>193</v>
      </c>
      <c r="D221" s="11" t="s">
        <v>183</v>
      </c>
      <c r="E221" s="11" t="s">
        <v>678</v>
      </c>
      <c r="F221" s="9" t="n">
        <v>2</v>
      </c>
      <c r="G221" s="9" t="n">
        <v>4</v>
      </c>
      <c r="H221" s="9" t="n">
        <v>1</v>
      </c>
      <c r="I221" s="9" t="n">
        <v>1</v>
      </c>
      <c r="J221" s="9" t="n">
        <v>1</v>
      </c>
      <c r="K221" s="15" t="n">
        <v>0</v>
      </c>
      <c r="L221" s="16" t="n">
        <f aca="false">ROUND(SUMPRODUCT(F221:J221,TRANSPOSE($B$6:$B$10))/$B$11+K221,2)</f>
        <v>1.9</v>
      </c>
      <c r="M221" s="9" t="n">
        <f aca="false">COUNTIFS($A$15:$A$255,A221,$L$15:$L$255,"&gt;"&amp;L221)+1</f>
        <v>39</v>
      </c>
    </row>
    <row r="222" customFormat="false" ht="15" hidden="false" customHeight="false" outlineLevel="0" collapsed="false">
      <c r="A222" s="11" t="s">
        <v>42</v>
      </c>
      <c r="B222" s="8" t="s">
        <v>679</v>
      </c>
      <c r="C222" s="11" t="s">
        <v>680</v>
      </c>
      <c r="D222" s="11" t="s">
        <v>183</v>
      </c>
      <c r="E222" s="11" t="s">
        <v>181</v>
      </c>
      <c r="F222" s="9" t="n">
        <v>5</v>
      </c>
      <c r="G222" s="9" t="n">
        <v>4</v>
      </c>
      <c r="H222" s="9" t="n">
        <v>1</v>
      </c>
      <c r="I222" s="9" t="n">
        <v>1</v>
      </c>
      <c r="J222" s="9" t="n">
        <v>1</v>
      </c>
      <c r="K222" s="15" t="n">
        <v>0</v>
      </c>
      <c r="L222" s="16" t="n">
        <f aca="false">ROUND(SUMPRODUCT(F222:J222,TRANSPOSE($B$6:$B$10))/$B$11+K222,2)</f>
        <v>2.8</v>
      </c>
      <c r="M222" s="9" t="n">
        <f aca="false">COUNTIFS($A$15:$A$255,A222,$L$15:$L$255,"&gt;"&amp;L222)+1</f>
        <v>27</v>
      </c>
    </row>
    <row r="223" customFormat="false" ht="43.25" hidden="false" customHeight="false" outlineLevel="0" collapsed="false">
      <c r="A223" s="11" t="s">
        <v>42</v>
      </c>
      <c r="B223" s="8" t="s">
        <v>681</v>
      </c>
      <c r="C223" s="11" t="s">
        <v>448</v>
      </c>
      <c r="D223" s="11" t="s">
        <v>183</v>
      </c>
      <c r="E223" s="11" t="s">
        <v>682</v>
      </c>
      <c r="F223" s="9" t="n">
        <v>5</v>
      </c>
      <c r="G223" s="9" t="n">
        <v>2</v>
      </c>
      <c r="H223" s="9" t="n">
        <v>5</v>
      </c>
      <c r="I223" s="9" t="n">
        <v>2</v>
      </c>
      <c r="J223" s="9" t="n">
        <v>1</v>
      </c>
      <c r="K223" s="15" t="n">
        <v>0</v>
      </c>
      <c r="L223" s="16" t="n">
        <f aca="false">ROUND(SUMPRODUCT(F223:J223,TRANSPOSE($B$6:$B$10))/$B$11+K223,2)</f>
        <v>3.35</v>
      </c>
      <c r="M223" s="9" t="n">
        <f aca="false">COUNTIFS($A$15:$A$255,A223,$L$15:$L$255,"&gt;"&amp;L223)+1</f>
        <v>13</v>
      </c>
    </row>
    <row r="224" customFormat="false" ht="32.8" hidden="false" customHeight="false" outlineLevel="0" collapsed="false">
      <c r="A224" s="11" t="s">
        <v>42</v>
      </c>
      <c r="B224" s="8" t="s">
        <v>683</v>
      </c>
      <c r="C224" s="11" t="s">
        <v>684</v>
      </c>
      <c r="D224" s="11" t="s">
        <v>183</v>
      </c>
      <c r="E224" s="11" t="s">
        <v>685</v>
      </c>
      <c r="F224" s="9" t="n">
        <v>5</v>
      </c>
      <c r="G224" s="9" t="n">
        <v>2</v>
      </c>
      <c r="H224" s="9" t="n">
        <v>5</v>
      </c>
      <c r="I224" s="9" t="n">
        <v>1</v>
      </c>
      <c r="J224" s="9" t="n">
        <v>1</v>
      </c>
      <c r="K224" s="15" t="n">
        <v>0</v>
      </c>
      <c r="L224" s="16" t="n">
        <f aca="false">ROUND(SUMPRODUCT(F224:J224,TRANSPOSE($B$6:$B$10))/$B$11+K224,2)</f>
        <v>3.2</v>
      </c>
      <c r="M224" s="9" t="n">
        <f aca="false">COUNTIFS($A$15:$A$255,A224,$L$15:$L$255,"&gt;"&amp;L224)+1</f>
        <v>17</v>
      </c>
    </row>
    <row r="225" customFormat="false" ht="32.8" hidden="false" customHeight="false" outlineLevel="0" collapsed="false">
      <c r="A225" s="11" t="s">
        <v>42</v>
      </c>
      <c r="B225" s="8" t="s">
        <v>686</v>
      </c>
      <c r="C225" s="11" t="s">
        <v>271</v>
      </c>
      <c r="D225" s="11" t="s">
        <v>183</v>
      </c>
      <c r="E225" s="11" t="s">
        <v>687</v>
      </c>
      <c r="F225" s="9" t="n">
        <v>5</v>
      </c>
      <c r="G225" s="9" t="n">
        <v>3</v>
      </c>
      <c r="H225" s="9" t="n">
        <v>1</v>
      </c>
      <c r="I225" s="9" t="n">
        <v>1</v>
      </c>
      <c r="J225" s="9" t="n">
        <v>1</v>
      </c>
      <c r="K225" s="15" t="n">
        <v>0</v>
      </c>
      <c r="L225" s="16" t="n">
        <f aca="false">ROUND(SUMPRODUCT(F225:J225,TRANSPOSE($B$6:$B$10))/$B$11+K225,2)</f>
        <v>2.6</v>
      </c>
      <c r="M225" s="9" t="n">
        <f aca="false">COUNTIFS($A$15:$A$255,A225,$L$15:$L$255,"&gt;"&amp;L225)+1</f>
        <v>30</v>
      </c>
    </row>
    <row r="226" customFormat="false" ht="32.8" hidden="false" customHeight="false" outlineLevel="0" collapsed="false">
      <c r="A226" s="11" t="s">
        <v>42</v>
      </c>
      <c r="B226" s="8" t="s">
        <v>688</v>
      </c>
      <c r="C226" s="11" t="s">
        <v>197</v>
      </c>
      <c r="D226" s="11" t="s">
        <v>183</v>
      </c>
      <c r="E226" s="11" t="s">
        <v>181</v>
      </c>
      <c r="F226" s="9" t="n">
        <v>5</v>
      </c>
      <c r="G226" s="9" t="n">
        <v>2</v>
      </c>
      <c r="H226" s="9" t="n">
        <v>1</v>
      </c>
      <c r="I226" s="9" t="n">
        <v>1</v>
      </c>
      <c r="J226" s="9" t="n">
        <v>1</v>
      </c>
      <c r="K226" s="15" t="n">
        <v>0</v>
      </c>
      <c r="L226" s="16" t="n">
        <f aca="false">ROUND(SUMPRODUCT(F226:J226,TRANSPOSE($B$6:$B$10))/$B$11+K226,2)</f>
        <v>2.4</v>
      </c>
      <c r="M226" s="9" t="n">
        <f aca="false">COUNTIFS($A$15:$A$255,A226,$L$15:$L$255,"&gt;"&amp;L226)+1</f>
        <v>32</v>
      </c>
    </row>
    <row r="227" customFormat="false" ht="64.15" hidden="false" customHeight="false" outlineLevel="0" collapsed="false">
      <c r="A227" s="11" t="s">
        <v>42</v>
      </c>
      <c r="B227" s="8" t="s">
        <v>689</v>
      </c>
      <c r="C227" s="11" t="s">
        <v>86</v>
      </c>
      <c r="D227" s="11" t="s">
        <v>183</v>
      </c>
      <c r="E227" s="11" t="s">
        <v>690</v>
      </c>
      <c r="F227" s="9" t="n">
        <v>5</v>
      </c>
      <c r="G227" s="9" t="n">
        <v>4</v>
      </c>
      <c r="H227" s="9" t="n">
        <v>1</v>
      </c>
      <c r="I227" s="9" t="n">
        <v>1</v>
      </c>
      <c r="J227" s="9" t="n">
        <v>1</v>
      </c>
      <c r="K227" s="15" t="n">
        <v>0</v>
      </c>
      <c r="L227" s="16" t="n">
        <f aca="false">ROUND(SUMPRODUCT(F227:J227,TRANSPOSE($B$6:$B$10))/$B$11+K227,2)</f>
        <v>2.8</v>
      </c>
      <c r="M227" s="9" t="n">
        <f aca="false">COUNTIFS($A$15:$A$255,A227,$L$15:$L$255,"&gt;"&amp;L227)+1</f>
        <v>27</v>
      </c>
    </row>
    <row r="228" customFormat="false" ht="32.8" hidden="false" customHeight="false" outlineLevel="0" collapsed="false">
      <c r="A228" s="11" t="s">
        <v>42</v>
      </c>
      <c r="B228" s="8" t="s">
        <v>691</v>
      </c>
      <c r="C228" s="11" t="s">
        <v>692</v>
      </c>
      <c r="D228" s="11" t="s">
        <v>183</v>
      </c>
      <c r="E228" s="11" t="s">
        <v>693</v>
      </c>
      <c r="F228" s="9" t="n">
        <v>2</v>
      </c>
      <c r="G228" s="9" t="n">
        <v>4</v>
      </c>
      <c r="H228" s="9" t="n">
        <v>1</v>
      </c>
      <c r="I228" s="9" t="n">
        <v>1</v>
      </c>
      <c r="J228" s="9" t="n">
        <v>1</v>
      </c>
      <c r="K228" s="15" t="n">
        <v>0</v>
      </c>
      <c r="L228" s="16" t="n">
        <f aca="false">ROUND(SUMPRODUCT(F228:J228,TRANSPOSE($B$6:$B$10))/$B$11+K228,2)</f>
        <v>1.9</v>
      </c>
      <c r="M228" s="9" t="n">
        <f aca="false">COUNTIFS($A$15:$A$255,A228,$L$15:$L$255,"&gt;"&amp;L228)+1</f>
        <v>39</v>
      </c>
    </row>
    <row r="229" customFormat="false" ht="95.5" hidden="false" customHeight="false" outlineLevel="0" collapsed="false">
      <c r="A229" s="11" t="s">
        <v>42</v>
      </c>
      <c r="B229" s="8" t="s">
        <v>694</v>
      </c>
      <c r="C229" s="11" t="s">
        <v>202</v>
      </c>
      <c r="D229" s="11" t="s">
        <v>695</v>
      </c>
      <c r="E229" s="11" t="s">
        <v>696</v>
      </c>
      <c r="F229" s="9" t="n">
        <v>5</v>
      </c>
      <c r="G229" s="9" t="n">
        <v>4</v>
      </c>
      <c r="H229" s="9" t="n">
        <v>1</v>
      </c>
      <c r="I229" s="9" t="n">
        <v>5</v>
      </c>
      <c r="J229" s="9" t="n">
        <v>2</v>
      </c>
      <c r="K229" s="15" t="n">
        <v>0</v>
      </c>
      <c r="L229" s="16" t="n">
        <f aca="false">ROUND(SUMPRODUCT(F229:J229,TRANSPOSE($B$6:$B$10))/$B$11+K229,2)</f>
        <v>3.55</v>
      </c>
      <c r="M229" s="9" t="n">
        <f aca="false">COUNTIFS($A$15:$A$255,A229,$L$15:$L$255,"&gt;"&amp;L229)+1</f>
        <v>11</v>
      </c>
    </row>
    <row r="230" customFormat="false" ht="22.35" hidden="false" customHeight="false" outlineLevel="0" collapsed="false">
      <c r="A230" s="11" t="s">
        <v>42</v>
      </c>
      <c r="B230" s="8" t="s">
        <v>697</v>
      </c>
      <c r="C230" s="11" t="s">
        <v>698</v>
      </c>
      <c r="D230" s="11" t="s">
        <v>183</v>
      </c>
      <c r="E230" s="11" t="s">
        <v>699</v>
      </c>
      <c r="F230" s="9" t="n">
        <v>5</v>
      </c>
      <c r="G230" s="9" t="n">
        <v>2</v>
      </c>
      <c r="H230" s="9" t="n">
        <v>1</v>
      </c>
      <c r="I230" s="9" t="n">
        <v>1</v>
      </c>
      <c r="J230" s="9" t="n">
        <v>1</v>
      </c>
      <c r="K230" s="15" t="n">
        <v>0</v>
      </c>
      <c r="L230" s="16" t="n">
        <f aca="false">ROUND(SUMPRODUCT(F230:J230,TRANSPOSE($B$6:$B$10))/$B$11+K230,2)</f>
        <v>2.4</v>
      </c>
      <c r="M230" s="9" t="n">
        <f aca="false">COUNTIFS($A$15:$A$255,A230,$L$15:$L$255,"&gt;"&amp;L230)+1</f>
        <v>32</v>
      </c>
    </row>
    <row r="231" customFormat="false" ht="43.25" hidden="false" customHeight="false" outlineLevel="0" collapsed="false">
      <c r="A231" s="11" t="s">
        <v>42</v>
      </c>
      <c r="B231" s="8" t="s">
        <v>700</v>
      </c>
      <c r="C231" s="11" t="s">
        <v>208</v>
      </c>
      <c r="D231" s="11" t="s">
        <v>183</v>
      </c>
      <c r="E231" s="11" t="s">
        <v>701</v>
      </c>
      <c r="F231" s="9" t="n">
        <v>5</v>
      </c>
      <c r="G231" s="9" t="n">
        <v>5</v>
      </c>
      <c r="H231" s="9" t="n">
        <v>1</v>
      </c>
      <c r="I231" s="9" t="n">
        <v>3</v>
      </c>
      <c r="J231" s="9" t="n">
        <v>1</v>
      </c>
      <c r="K231" s="15" t="n">
        <v>0</v>
      </c>
      <c r="L231" s="16" t="n">
        <f aca="false">ROUND(SUMPRODUCT(F231:J231,TRANSPOSE($B$6:$B$10))/$B$11+K231,2)</f>
        <v>3.3</v>
      </c>
      <c r="M231" s="9" t="n">
        <f aca="false">COUNTIFS($A$15:$A$255,A231,$L$15:$L$255,"&gt;"&amp;L231)+1</f>
        <v>16</v>
      </c>
    </row>
    <row r="232" customFormat="false" ht="53.7" hidden="false" customHeight="false" outlineLevel="0" collapsed="false">
      <c r="A232" s="11" t="s">
        <v>42</v>
      </c>
      <c r="B232" s="8" t="s">
        <v>702</v>
      </c>
      <c r="C232" s="11" t="s">
        <v>703</v>
      </c>
      <c r="D232" s="11" t="s">
        <v>183</v>
      </c>
      <c r="E232" s="11" t="s">
        <v>704</v>
      </c>
      <c r="F232" s="9" t="n">
        <v>5</v>
      </c>
      <c r="G232" s="9" t="n">
        <v>4</v>
      </c>
      <c r="H232" s="9" t="n">
        <v>5</v>
      </c>
      <c r="I232" s="9" t="n">
        <v>1</v>
      </c>
      <c r="J232" s="9" t="n">
        <v>1</v>
      </c>
      <c r="K232" s="15" t="n">
        <v>0</v>
      </c>
      <c r="L232" s="16" t="n">
        <f aca="false">ROUND(SUMPRODUCT(F232:J232,TRANSPOSE($B$6:$B$10))/$B$11+K232,2)</f>
        <v>3.6</v>
      </c>
      <c r="M232" s="9" t="n">
        <f aca="false">COUNTIFS($A$15:$A$255,A232,$L$15:$L$255,"&gt;"&amp;L232)+1</f>
        <v>9</v>
      </c>
    </row>
    <row r="233" customFormat="false" ht="43.25" hidden="false" customHeight="false" outlineLevel="0" collapsed="false">
      <c r="A233" s="11" t="s">
        <v>42</v>
      </c>
      <c r="B233" s="8" t="s">
        <v>705</v>
      </c>
      <c r="C233" s="11" t="s">
        <v>286</v>
      </c>
      <c r="D233" s="11" t="s">
        <v>706</v>
      </c>
      <c r="E233" s="11" t="s">
        <v>707</v>
      </c>
      <c r="F233" s="9" t="n">
        <v>5</v>
      </c>
      <c r="G233" s="9" t="n">
        <v>5</v>
      </c>
      <c r="H233" s="9" t="n">
        <v>5</v>
      </c>
      <c r="I233" s="9" t="n">
        <v>3</v>
      </c>
      <c r="J233" s="9" t="n">
        <v>2</v>
      </c>
      <c r="K233" s="15" t="n">
        <v>0</v>
      </c>
      <c r="L233" s="16" t="n">
        <f aca="false">ROUND(SUMPRODUCT(F233:J233,TRANSPOSE($B$6:$B$10))/$B$11+K233,2)</f>
        <v>4.25</v>
      </c>
      <c r="M233" s="9" t="n">
        <f aca="false">COUNTIFS($A$15:$A$255,A233,$L$15:$L$255,"&gt;"&amp;L233)+1</f>
        <v>1</v>
      </c>
    </row>
    <row r="234" customFormat="false" ht="53.7" hidden="false" customHeight="false" outlineLevel="0" collapsed="false">
      <c r="A234" s="11" t="s">
        <v>42</v>
      </c>
      <c r="B234" s="8" t="s">
        <v>708</v>
      </c>
      <c r="C234" s="11" t="s">
        <v>709</v>
      </c>
      <c r="D234" s="11" t="s">
        <v>710</v>
      </c>
      <c r="E234" s="11" t="s">
        <v>711</v>
      </c>
      <c r="F234" s="9" t="n">
        <v>3</v>
      </c>
      <c r="G234" s="9" t="n">
        <v>2</v>
      </c>
      <c r="H234" s="9" t="n">
        <v>1</v>
      </c>
      <c r="I234" s="9" t="n">
        <v>1</v>
      </c>
      <c r="J234" s="9" t="n">
        <v>2</v>
      </c>
      <c r="K234" s="15" t="n">
        <v>0</v>
      </c>
      <c r="L234" s="16" t="n">
        <f aca="false">ROUND(SUMPRODUCT(F234:J234,TRANSPOSE($B$6:$B$10))/$B$11+K234,2)</f>
        <v>1.95</v>
      </c>
      <c r="M234" s="9" t="n">
        <f aca="false">COUNTIFS($A$15:$A$255,A234,$L$15:$L$255,"&gt;"&amp;L234)+1</f>
        <v>38</v>
      </c>
    </row>
    <row r="235" customFormat="false" ht="32.8" hidden="false" customHeight="false" outlineLevel="0" collapsed="false">
      <c r="A235" s="11" t="s">
        <v>42</v>
      </c>
      <c r="B235" s="8" t="s">
        <v>712</v>
      </c>
      <c r="C235" s="11" t="s">
        <v>377</v>
      </c>
      <c r="D235" s="11" t="s">
        <v>183</v>
      </c>
      <c r="E235" s="11" t="s">
        <v>713</v>
      </c>
      <c r="F235" s="9" t="n">
        <v>5</v>
      </c>
      <c r="G235" s="9" t="n">
        <v>4</v>
      </c>
      <c r="H235" s="9" t="n">
        <v>1</v>
      </c>
      <c r="I235" s="9" t="n">
        <v>1</v>
      </c>
      <c r="J235" s="9" t="n">
        <v>1</v>
      </c>
      <c r="K235" s="15" t="n">
        <v>0</v>
      </c>
      <c r="L235" s="16" t="n">
        <f aca="false">ROUND(SUMPRODUCT(F235:J235,TRANSPOSE($B$6:$B$10))/$B$11+K235,2)</f>
        <v>2.8</v>
      </c>
      <c r="M235" s="9" t="n">
        <f aca="false">COUNTIFS($A$15:$A$255,A235,$L$15:$L$255,"&gt;"&amp;L235)+1</f>
        <v>27</v>
      </c>
    </row>
    <row r="236" customFormat="false" ht="32.8" hidden="false" customHeight="false" outlineLevel="0" collapsed="false">
      <c r="A236" s="11" t="s">
        <v>42</v>
      </c>
      <c r="B236" s="8" t="s">
        <v>714</v>
      </c>
      <c r="C236" s="11" t="s">
        <v>715</v>
      </c>
      <c r="D236" s="11" t="s">
        <v>716</v>
      </c>
      <c r="E236" s="11" t="s">
        <v>717</v>
      </c>
      <c r="F236" s="9" t="n">
        <v>5</v>
      </c>
      <c r="G236" s="9" t="n">
        <v>4</v>
      </c>
      <c r="H236" s="9" t="n">
        <v>2</v>
      </c>
      <c r="I236" s="9" t="n">
        <v>1</v>
      </c>
      <c r="J236" s="9" t="n">
        <v>2</v>
      </c>
      <c r="K236" s="15" t="n">
        <v>0</v>
      </c>
      <c r="L236" s="16" t="n">
        <f aca="false">ROUND(SUMPRODUCT(F236:J236,TRANSPOSE($B$6:$B$10))/$B$11+K236,2)</f>
        <v>3.15</v>
      </c>
      <c r="M236" s="9" t="n">
        <f aca="false">COUNTIFS($A$15:$A$255,A236,$L$15:$L$255,"&gt;"&amp;L236)+1</f>
        <v>20</v>
      </c>
    </row>
    <row r="237" customFormat="false" ht="32.8" hidden="false" customHeight="false" outlineLevel="0" collapsed="false">
      <c r="A237" s="11" t="s">
        <v>42</v>
      </c>
      <c r="B237" s="8" t="s">
        <v>718</v>
      </c>
      <c r="C237" s="11" t="s">
        <v>216</v>
      </c>
      <c r="D237" s="11" t="s">
        <v>719</v>
      </c>
      <c r="E237" s="11" t="s">
        <v>720</v>
      </c>
      <c r="F237" s="9" t="n">
        <v>5</v>
      </c>
      <c r="G237" s="9" t="n">
        <v>4</v>
      </c>
      <c r="H237" s="9" t="n">
        <v>1</v>
      </c>
      <c r="I237" s="9" t="n">
        <v>1</v>
      </c>
      <c r="J237" s="9" t="n">
        <v>2</v>
      </c>
      <c r="K237" s="15" t="n">
        <v>0</v>
      </c>
      <c r="L237" s="16" t="n">
        <f aca="false">ROUND(SUMPRODUCT(F237:J237,TRANSPOSE($B$6:$B$10))/$B$11+K237,2)</f>
        <v>2.95</v>
      </c>
      <c r="M237" s="9" t="n">
        <f aca="false">COUNTIFS($A$15:$A$255,A237,$L$15:$L$255,"&gt;"&amp;L237)+1</f>
        <v>25</v>
      </c>
    </row>
    <row r="238" customFormat="false" ht="15" hidden="false" customHeight="false" outlineLevel="0" collapsed="false">
      <c r="A238" s="11" t="s">
        <v>42</v>
      </c>
      <c r="B238" s="8" t="s">
        <v>721</v>
      </c>
      <c r="C238" s="11" t="s">
        <v>219</v>
      </c>
      <c r="D238" s="11" t="s">
        <v>183</v>
      </c>
      <c r="E238" s="11" t="s">
        <v>661</v>
      </c>
      <c r="F238" s="9" t="n">
        <v>2</v>
      </c>
      <c r="G238" s="9" t="n">
        <v>2</v>
      </c>
      <c r="H238" s="9" t="n">
        <v>1</v>
      </c>
      <c r="I238" s="9" t="n">
        <v>1</v>
      </c>
      <c r="J238" s="9" t="n">
        <v>1</v>
      </c>
      <c r="K238" s="15" t="n">
        <v>0</v>
      </c>
      <c r="L238" s="16" t="n">
        <f aca="false">ROUND(SUMPRODUCT(F238:J238,TRANSPOSE($B$6:$B$10))/$B$11+K238,2)</f>
        <v>1.5</v>
      </c>
      <c r="M238" s="9" t="n">
        <f aca="false">COUNTIFS($A$15:$A$255,A238,$L$15:$L$255,"&gt;"&amp;L238)+1</f>
        <v>41</v>
      </c>
    </row>
    <row r="239" customFormat="false" ht="105.95" hidden="false" customHeight="false" outlineLevel="0" collapsed="false">
      <c r="A239" s="11" t="s">
        <v>42</v>
      </c>
      <c r="B239" s="8" t="s">
        <v>722</v>
      </c>
      <c r="C239" s="11" t="s">
        <v>723</v>
      </c>
      <c r="D239" s="11" t="s">
        <v>183</v>
      </c>
      <c r="E239" s="11" t="s">
        <v>724</v>
      </c>
      <c r="F239" s="9" t="n">
        <v>5</v>
      </c>
      <c r="G239" s="9" t="n">
        <v>5</v>
      </c>
      <c r="H239" s="9" t="n">
        <v>5</v>
      </c>
      <c r="I239" s="9" t="n">
        <v>2</v>
      </c>
      <c r="J239" s="9" t="n">
        <v>1</v>
      </c>
      <c r="K239" s="15" t="n">
        <v>0</v>
      </c>
      <c r="L239" s="16" t="n">
        <f aca="false">ROUND(SUMPRODUCT(F239:J239,TRANSPOSE($B$6:$B$10))/$B$11+K239,2)</f>
        <v>3.95</v>
      </c>
      <c r="M239" s="9" t="n">
        <f aca="false">COUNTIFS($A$15:$A$255,A239,$L$15:$L$255,"&gt;"&amp;L239)+1</f>
        <v>2</v>
      </c>
    </row>
    <row r="240" customFormat="false" ht="32.8" hidden="false" customHeight="false" outlineLevel="0" collapsed="false">
      <c r="A240" s="11" t="s">
        <v>42</v>
      </c>
      <c r="B240" s="8" t="s">
        <v>725</v>
      </c>
      <c r="C240" s="11" t="s">
        <v>726</v>
      </c>
      <c r="D240" s="11" t="s">
        <v>183</v>
      </c>
      <c r="E240" s="11" t="s">
        <v>727</v>
      </c>
      <c r="F240" s="9" t="n">
        <v>5</v>
      </c>
      <c r="G240" s="9" t="n">
        <v>2</v>
      </c>
      <c r="H240" s="9" t="n">
        <v>1</v>
      </c>
      <c r="I240" s="9" t="n">
        <v>1</v>
      </c>
      <c r="J240" s="9" t="n">
        <v>1</v>
      </c>
      <c r="K240" s="15" t="n">
        <v>0</v>
      </c>
      <c r="L240" s="16" t="n">
        <f aca="false">ROUND(SUMPRODUCT(F240:J240,TRANSPOSE($B$6:$B$10))/$B$11+K240,2)</f>
        <v>2.4</v>
      </c>
      <c r="M240" s="9" t="n">
        <f aca="false">COUNTIFS($A$15:$A$255,A240,$L$15:$L$255,"&gt;"&amp;L240)+1</f>
        <v>32</v>
      </c>
    </row>
    <row r="241" customFormat="false" ht="32.8" hidden="false" customHeight="false" outlineLevel="0" collapsed="false">
      <c r="A241" s="11" t="s">
        <v>42</v>
      </c>
      <c r="B241" s="8" t="s">
        <v>728</v>
      </c>
      <c r="C241" s="11" t="s">
        <v>729</v>
      </c>
      <c r="D241" s="11" t="s">
        <v>183</v>
      </c>
      <c r="E241" s="11" t="s">
        <v>730</v>
      </c>
      <c r="F241" s="9" t="n">
        <v>5</v>
      </c>
      <c r="G241" s="9" t="n">
        <v>2</v>
      </c>
      <c r="H241" s="9" t="n">
        <v>5</v>
      </c>
      <c r="I241" s="9" t="n">
        <v>1</v>
      </c>
      <c r="J241" s="9" t="n">
        <v>1</v>
      </c>
      <c r="K241" s="15" t="n">
        <v>0</v>
      </c>
      <c r="L241" s="16" t="n">
        <f aca="false">ROUND(SUMPRODUCT(F241:J241,TRANSPOSE($B$6:$B$10))/$B$11+K241,2)</f>
        <v>3.2</v>
      </c>
      <c r="M241" s="9" t="n">
        <f aca="false">COUNTIFS($A$15:$A$255,A241,$L$15:$L$255,"&gt;"&amp;L241)+1</f>
        <v>17</v>
      </c>
    </row>
    <row r="242" customFormat="false" ht="22.35" hidden="false" customHeight="false" outlineLevel="0" collapsed="false">
      <c r="A242" s="11" t="s">
        <v>42</v>
      </c>
      <c r="B242" s="8" t="s">
        <v>731</v>
      </c>
      <c r="C242" s="11" t="s">
        <v>732</v>
      </c>
      <c r="D242" s="11" t="s">
        <v>183</v>
      </c>
      <c r="E242" s="11" t="s">
        <v>733</v>
      </c>
      <c r="F242" s="9" t="n">
        <v>5</v>
      </c>
      <c r="G242" s="9" t="n">
        <v>3</v>
      </c>
      <c r="H242" s="9" t="n">
        <v>1</v>
      </c>
      <c r="I242" s="9" t="n">
        <v>1</v>
      </c>
      <c r="J242" s="9" t="n">
        <v>1</v>
      </c>
      <c r="K242" s="15" t="n">
        <v>0</v>
      </c>
      <c r="L242" s="16" t="n">
        <f aca="false">ROUND(SUMPRODUCT(F242:J242,TRANSPOSE($B$6:$B$10))/$B$11+K242,2)</f>
        <v>2.6</v>
      </c>
      <c r="M242" s="9" t="n">
        <f aca="false">COUNTIFS($A$15:$A$255,A242,$L$15:$L$255,"&gt;"&amp;L242)+1</f>
        <v>30</v>
      </c>
    </row>
    <row r="243" customFormat="false" ht="64.15" hidden="false" customHeight="false" outlineLevel="0" collapsed="false">
      <c r="A243" s="11" t="s">
        <v>42</v>
      </c>
      <c r="B243" s="8" t="s">
        <v>734</v>
      </c>
      <c r="C243" s="11" t="s">
        <v>223</v>
      </c>
      <c r="D243" s="11" t="s">
        <v>735</v>
      </c>
      <c r="E243" s="11" t="s">
        <v>736</v>
      </c>
      <c r="F243" s="9" t="n">
        <v>5</v>
      </c>
      <c r="G243" s="9" t="n">
        <v>4</v>
      </c>
      <c r="H243" s="9" t="n">
        <v>1</v>
      </c>
      <c r="I243" s="9" t="n">
        <v>1</v>
      </c>
      <c r="J243" s="9" t="n">
        <v>2</v>
      </c>
      <c r="K243" s="15" t="n">
        <v>0</v>
      </c>
      <c r="L243" s="16" t="n">
        <f aca="false">ROUND(SUMPRODUCT(F243:J243,TRANSPOSE($B$6:$B$10))/$B$11+K243,2)</f>
        <v>2.95</v>
      </c>
      <c r="M243" s="9" t="n">
        <f aca="false">COUNTIFS($A$15:$A$255,A243,$L$15:$L$255,"&gt;"&amp;L243)+1</f>
        <v>25</v>
      </c>
    </row>
    <row r="244" customFormat="false" ht="22.35" hidden="false" customHeight="false" outlineLevel="0" collapsed="false">
      <c r="A244" s="11" t="s">
        <v>42</v>
      </c>
      <c r="B244" s="8" t="s">
        <v>737</v>
      </c>
      <c r="C244" s="11" t="s">
        <v>738</v>
      </c>
      <c r="D244" s="11" t="s">
        <v>183</v>
      </c>
      <c r="E244" s="11" t="s">
        <v>739</v>
      </c>
      <c r="F244" s="9" t="n">
        <v>5</v>
      </c>
      <c r="G244" s="9" t="n">
        <v>2</v>
      </c>
      <c r="H244" s="9" t="n">
        <v>1</v>
      </c>
      <c r="I244" s="9" t="n">
        <v>1</v>
      </c>
      <c r="J244" s="9" t="n">
        <v>1</v>
      </c>
      <c r="K244" s="15" t="n">
        <v>0</v>
      </c>
      <c r="L244" s="16" t="n">
        <f aca="false">ROUND(SUMPRODUCT(F244:J244,TRANSPOSE($B$6:$B$10))/$B$11+K244,2)</f>
        <v>2.4</v>
      </c>
      <c r="M244" s="9" t="n">
        <f aca="false">COUNTIFS($A$15:$A$255,A244,$L$15:$L$255,"&gt;"&amp;L244)+1</f>
        <v>32</v>
      </c>
    </row>
    <row r="245" customFormat="false" ht="32.8" hidden="false" customHeight="false" outlineLevel="0" collapsed="false">
      <c r="A245" s="11" t="s">
        <v>42</v>
      </c>
      <c r="B245" s="8" t="s">
        <v>740</v>
      </c>
      <c r="C245" s="11" t="s">
        <v>225</v>
      </c>
      <c r="D245" s="11" t="s">
        <v>741</v>
      </c>
      <c r="E245" s="11" t="s">
        <v>742</v>
      </c>
      <c r="F245" s="9" t="n">
        <v>5</v>
      </c>
      <c r="G245" s="9" t="n">
        <v>2</v>
      </c>
      <c r="H245" s="9" t="n">
        <v>5</v>
      </c>
      <c r="I245" s="9" t="n">
        <v>3</v>
      </c>
      <c r="J245" s="9" t="n">
        <v>2</v>
      </c>
      <c r="K245" s="15" t="n">
        <v>0</v>
      </c>
      <c r="L245" s="16" t="n">
        <f aca="false">ROUND(SUMPRODUCT(F245:J245,TRANSPOSE($B$6:$B$10))/$B$11+K245,2)</f>
        <v>3.65</v>
      </c>
      <c r="M245" s="9" t="n">
        <f aca="false">COUNTIFS($A$15:$A$255,A245,$L$15:$L$255,"&gt;"&amp;L245)+1</f>
        <v>8</v>
      </c>
    </row>
    <row r="246" customFormat="false" ht="53.7" hidden="false" customHeight="false" outlineLevel="0" collapsed="false">
      <c r="A246" s="11" t="s">
        <v>42</v>
      </c>
      <c r="B246" s="8" t="s">
        <v>743</v>
      </c>
      <c r="C246" s="11" t="s">
        <v>311</v>
      </c>
      <c r="D246" s="11" t="s">
        <v>744</v>
      </c>
      <c r="E246" s="11" t="s">
        <v>745</v>
      </c>
      <c r="F246" s="9" t="n">
        <v>5</v>
      </c>
      <c r="G246" s="9" t="n">
        <v>5</v>
      </c>
      <c r="H246" s="9" t="n">
        <v>1</v>
      </c>
      <c r="I246" s="9" t="n">
        <v>1</v>
      </c>
      <c r="J246" s="9" t="n">
        <v>2</v>
      </c>
      <c r="K246" s="15" t="n">
        <v>0</v>
      </c>
      <c r="L246" s="16" t="n">
        <f aca="false">ROUND(SUMPRODUCT(F246:J246,TRANSPOSE($B$6:$B$10))/$B$11+K246,2)</f>
        <v>3.15</v>
      </c>
      <c r="M246" s="9" t="n">
        <f aca="false">COUNTIFS($A$15:$A$255,A246,$L$15:$L$255,"&gt;"&amp;L246)+1</f>
        <v>20</v>
      </c>
    </row>
    <row r="247" customFormat="false" ht="43.25" hidden="false" customHeight="false" outlineLevel="0" collapsed="false">
      <c r="A247" s="11" t="s">
        <v>42</v>
      </c>
      <c r="B247" s="8" t="s">
        <v>746</v>
      </c>
      <c r="C247" s="11" t="s">
        <v>747</v>
      </c>
      <c r="D247" s="11" t="s">
        <v>183</v>
      </c>
      <c r="E247" s="11" t="s">
        <v>748</v>
      </c>
      <c r="F247" s="9" t="n">
        <v>1</v>
      </c>
      <c r="G247" s="9" t="n">
        <v>2</v>
      </c>
      <c r="H247" s="9" t="n">
        <v>2</v>
      </c>
      <c r="I247" s="9" t="n">
        <v>1</v>
      </c>
      <c r="J247" s="9" t="n">
        <v>1</v>
      </c>
      <c r="K247" s="15" t="n">
        <v>0</v>
      </c>
      <c r="L247" s="16" t="n">
        <f aca="false">ROUND(SUMPRODUCT(F247:J247,TRANSPOSE($B$6:$B$10))/$B$11+K247,2)</f>
        <v>1.4</v>
      </c>
      <c r="M247" s="9" t="n">
        <f aca="false">COUNTIFS($A$15:$A$255,A247,$L$15:$L$255,"&gt;"&amp;L247)+1</f>
        <v>43</v>
      </c>
    </row>
    <row r="248" customFormat="false" ht="43.25" hidden="false" customHeight="false" outlineLevel="0" collapsed="false">
      <c r="A248" s="11" t="s">
        <v>42</v>
      </c>
      <c r="B248" s="8" t="s">
        <v>749</v>
      </c>
      <c r="C248" s="11" t="s">
        <v>750</v>
      </c>
      <c r="D248" s="11" t="s">
        <v>183</v>
      </c>
      <c r="E248" s="11" t="s">
        <v>751</v>
      </c>
      <c r="F248" s="9" t="n">
        <v>5</v>
      </c>
      <c r="G248" s="9" t="n">
        <v>2</v>
      </c>
      <c r="H248" s="9" t="n">
        <v>5</v>
      </c>
      <c r="I248" s="9" t="n">
        <v>2</v>
      </c>
      <c r="J248" s="9" t="n">
        <v>1</v>
      </c>
      <c r="K248" s="15" t="n">
        <v>0</v>
      </c>
      <c r="L248" s="16" t="n">
        <f aca="false">ROUND(SUMPRODUCT(F248:J248,TRANSPOSE($B$6:$B$10))/$B$11+K248,2)</f>
        <v>3.35</v>
      </c>
      <c r="M248" s="9" t="n">
        <f aca="false">COUNTIFS($A$15:$A$255,A248,$L$15:$L$255,"&gt;"&amp;L248)+1</f>
        <v>13</v>
      </c>
    </row>
    <row r="249" customFormat="false" ht="74.6" hidden="false" customHeight="false" outlineLevel="0" collapsed="false">
      <c r="A249" s="11" t="s">
        <v>42</v>
      </c>
      <c r="B249" s="8" t="s">
        <v>752</v>
      </c>
      <c r="C249" s="11" t="s">
        <v>753</v>
      </c>
      <c r="D249" s="11" t="s">
        <v>183</v>
      </c>
      <c r="E249" s="11" t="s">
        <v>754</v>
      </c>
      <c r="F249" s="9" t="n">
        <v>5</v>
      </c>
      <c r="G249" s="9" t="n">
        <v>2</v>
      </c>
      <c r="H249" s="9" t="n">
        <v>5</v>
      </c>
      <c r="I249" s="9" t="n">
        <v>2</v>
      </c>
      <c r="J249" s="9" t="n">
        <v>1</v>
      </c>
      <c r="K249" s="15" t="n">
        <v>0</v>
      </c>
      <c r="L249" s="16" t="n">
        <f aca="false">ROUND(SUMPRODUCT(F249:J249,TRANSPOSE($B$6:$B$10))/$B$11+K249,2)</f>
        <v>3.35</v>
      </c>
      <c r="M249" s="9" t="n">
        <f aca="false">COUNTIFS($A$15:$A$255,A249,$L$15:$L$255,"&gt;"&amp;L249)+1</f>
        <v>13</v>
      </c>
    </row>
    <row r="250" customFormat="false" ht="22.35" hidden="false" customHeight="false" outlineLevel="0" collapsed="false">
      <c r="A250" s="11" t="s">
        <v>42</v>
      </c>
      <c r="B250" s="8" t="s">
        <v>755</v>
      </c>
      <c r="C250" s="11" t="s">
        <v>228</v>
      </c>
      <c r="D250" s="11" t="s">
        <v>183</v>
      </c>
      <c r="E250" s="11" t="s">
        <v>181</v>
      </c>
      <c r="F250" s="9" t="n">
        <v>5</v>
      </c>
      <c r="G250" s="9" t="n">
        <v>2</v>
      </c>
      <c r="H250" s="9" t="n">
        <v>1</v>
      </c>
      <c r="I250" s="9" t="n">
        <v>1</v>
      </c>
      <c r="J250" s="9" t="n">
        <v>1</v>
      </c>
      <c r="K250" s="15" t="n">
        <v>0</v>
      </c>
      <c r="L250" s="16" t="n">
        <f aca="false">ROUND(SUMPRODUCT(F250:J250,TRANSPOSE($B$6:$B$10))/$B$11+K250,2)</f>
        <v>2.4</v>
      </c>
      <c r="M250" s="9" t="n">
        <f aca="false">COUNTIFS($A$15:$A$255,A250,$L$15:$L$255,"&gt;"&amp;L250)+1</f>
        <v>32</v>
      </c>
    </row>
    <row r="251" customFormat="false" ht="53.7" hidden="false" customHeight="false" outlineLevel="0" collapsed="false">
      <c r="A251" s="11" t="s">
        <v>42</v>
      </c>
      <c r="B251" s="8" t="s">
        <v>756</v>
      </c>
      <c r="C251" s="11" t="s">
        <v>757</v>
      </c>
      <c r="D251" s="11" t="s">
        <v>758</v>
      </c>
      <c r="E251" s="11" t="s">
        <v>759</v>
      </c>
      <c r="F251" s="9" t="n">
        <v>5</v>
      </c>
      <c r="G251" s="9" t="n">
        <v>4</v>
      </c>
      <c r="H251" s="9" t="n">
        <v>1</v>
      </c>
      <c r="I251" s="9" t="n">
        <v>1</v>
      </c>
      <c r="J251" s="9" t="n">
        <v>3</v>
      </c>
      <c r="K251" s="15" t="n">
        <v>0</v>
      </c>
      <c r="L251" s="16" t="n">
        <f aca="false">ROUND(SUMPRODUCT(F251:J251,TRANSPOSE($B$6:$B$10))/$B$11+K251,2)</f>
        <v>3.1</v>
      </c>
      <c r="M251" s="9" t="n">
        <f aca="false">COUNTIFS($A$15:$A$255,A251,$L$15:$L$255,"&gt;"&amp;L251)+1</f>
        <v>22</v>
      </c>
    </row>
    <row r="252" customFormat="false" ht="53.7" hidden="false" customHeight="false" outlineLevel="0" collapsed="false">
      <c r="A252" s="11" t="s">
        <v>42</v>
      </c>
      <c r="B252" s="8" t="s">
        <v>760</v>
      </c>
      <c r="C252" s="11" t="s">
        <v>241</v>
      </c>
      <c r="D252" s="11" t="s">
        <v>761</v>
      </c>
      <c r="E252" s="11" t="s">
        <v>762</v>
      </c>
      <c r="F252" s="9" t="n">
        <v>5</v>
      </c>
      <c r="G252" s="9" t="n">
        <v>5</v>
      </c>
      <c r="H252" s="9" t="n">
        <v>1</v>
      </c>
      <c r="I252" s="9" t="n">
        <v>5</v>
      </c>
      <c r="J252" s="9" t="n">
        <v>3</v>
      </c>
      <c r="K252" s="15" t="n">
        <v>0</v>
      </c>
      <c r="L252" s="16" t="n">
        <f aca="false">ROUND(SUMPRODUCT(F252:J252,TRANSPOSE($B$6:$B$10))/$B$11+K252,2)</f>
        <v>3.9</v>
      </c>
      <c r="M252" s="9" t="n">
        <f aca="false">COUNTIFS($A$15:$A$255,A252,$L$15:$L$255,"&gt;"&amp;L252)+1</f>
        <v>4</v>
      </c>
    </row>
    <row r="253" customFormat="false" ht="64.15" hidden="false" customHeight="false" outlineLevel="0" collapsed="false">
      <c r="A253" s="11" t="s">
        <v>42</v>
      </c>
      <c r="B253" s="8" t="s">
        <v>763</v>
      </c>
      <c r="C253" s="11" t="s">
        <v>764</v>
      </c>
      <c r="D253" s="11" t="s">
        <v>765</v>
      </c>
      <c r="E253" s="11" t="s">
        <v>766</v>
      </c>
      <c r="F253" s="9" t="n">
        <v>3</v>
      </c>
      <c r="G253" s="9" t="n">
        <v>5</v>
      </c>
      <c r="H253" s="9" t="n">
        <v>1</v>
      </c>
      <c r="I253" s="9" t="n">
        <v>5</v>
      </c>
      <c r="J253" s="9" t="n">
        <v>5</v>
      </c>
      <c r="K253" s="15" t="n">
        <v>0</v>
      </c>
      <c r="L253" s="16" t="n">
        <f aca="false">ROUND(SUMPRODUCT(F253:J253,TRANSPOSE($B$6:$B$10))/$B$11+K253,2)</f>
        <v>3.6</v>
      </c>
      <c r="M253" s="9" t="n">
        <f aca="false">COUNTIFS($A$15:$A$255,A253,$L$15:$L$255,"&gt;"&amp;L253)+1</f>
        <v>9</v>
      </c>
    </row>
    <row r="254" customFormat="false" ht="74.6" hidden="false" customHeight="false" outlineLevel="0" collapsed="false">
      <c r="A254" s="11" t="s">
        <v>42</v>
      </c>
      <c r="B254" s="8" t="s">
        <v>767</v>
      </c>
      <c r="C254" s="11" t="s">
        <v>252</v>
      </c>
      <c r="D254" s="11" t="s">
        <v>768</v>
      </c>
      <c r="E254" s="11" t="s">
        <v>769</v>
      </c>
      <c r="F254" s="9" t="n">
        <v>5</v>
      </c>
      <c r="G254" s="9" t="n">
        <v>4</v>
      </c>
      <c r="H254" s="9" t="n">
        <v>1</v>
      </c>
      <c r="I254" s="9" t="n">
        <v>3</v>
      </c>
      <c r="J254" s="9" t="n">
        <v>3</v>
      </c>
      <c r="K254" s="15" t="n">
        <v>0</v>
      </c>
      <c r="L254" s="16" t="n">
        <f aca="false">ROUND(SUMPRODUCT(F254:J254,TRANSPOSE($B$6:$B$10))/$B$11+K254,2)</f>
        <v>3.4</v>
      </c>
      <c r="M254" s="9" t="n">
        <f aca="false">COUNTIFS($A$15:$A$255,A254,$L$15:$L$255,"&gt;"&amp;L254)+1</f>
        <v>12</v>
      </c>
    </row>
    <row r="255" customFormat="false" ht="43.25" hidden="false" customHeight="false" outlineLevel="0" collapsed="false">
      <c r="A255" s="11" t="s">
        <v>42</v>
      </c>
      <c r="B255" s="8" t="s">
        <v>770</v>
      </c>
      <c r="C255" s="11" t="s">
        <v>771</v>
      </c>
      <c r="D255" s="11" t="s">
        <v>772</v>
      </c>
      <c r="E255" s="11" t="s">
        <v>773</v>
      </c>
      <c r="F255" s="9" t="n">
        <v>5</v>
      </c>
      <c r="G255" s="9" t="n">
        <v>4</v>
      </c>
      <c r="H255" s="9" t="n">
        <v>1</v>
      </c>
      <c r="I255" s="9" t="n">
        <v>1</v>
      </c>
      <c r="J255" s="9" t="n">
        <v>3</v>
      </c>
      <c r="K255" s="15" t="n">
        <v>0</v>
      </c>
      <c r="L255" s="16" t="n">
        <f aca="false">ROUND(SUMPRODUCT(F255:J255,TRANSPOSE($B$6:$B$10))/$B$11+K255,2)</f>
        <v>3.1</v>
      </c>
      <c r="M255" s="9" t="n">
        <f aca="false">COUNTIFS($A$15:$A$255,A255,$L$15:$L$255,"&gt;"&amp;L255)+1</f>
        <v>22</v>
      </c>
    </row>
  </sheetData>
  <autoFilter ref="A14:M255"/>
  <conditionalFormatting sqref="L15:L255">
    <cfRule type="expression" priority="2" aboveAverage="0" equalAverage="0" bottom="0" percent="0" rank="0" text="" dxfId="9">
      <formula>L15&gt;=4</formula>
    </cfRule>
    <cfRule type="expression" priority="3" aboveAverage="0" equalAverage="0" bottom="0" percent="0" rank="0" text="" dxfId="10">
      <formula>AND(L15&gt;=3,L15&lt;4)</formula>
    </cfRule>
  </conditionalFormatting>
  <conditionalFormatting sqref="E15:E255">
    <cfRule type="expression" priority="4" aboveAverage="0" equalAverage="0" bottom="0" percent="0" rank="0" text="" dxfId="9">
      <formula>ISNUMBER(SEARCH("GA",E15))</formula>
    </cfRule>
    <cfRule type="expression" priority="5" aboveAverage="0" equalAverage="0" bottom="0" percent="0" rank="0" text="" dxfId="10">
      <formula>ISNUMBER(SEARCH("Beta",E15))</formula>
    </cfRule>
    <cfRule type="expression" priority="6" aboveAverage="0" equalAverage="0" bottom="0" percent="0" rank="0" text="" dxfId="11">
      <formula>ISNUMBER(SEARCH("Marketing",E15))</formula>
    </cfRule>
    <cfRule type="expression" priority="7" aboveAverage="0" equalAverage="0" bottom="0" percent="0" rank="0" text="" dxfId="12">
      <formula>LEFT(E15,4)="None"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00"/>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8"/>
    <col collapsed="false" customWidth="true" hidden="false" outlineLevel="0" max="4" min="4" style="0" width="12"/>
    <col collapsed="false" customWidth="true" hidden="false" outlineLevel="0" max="5" min="5" style="0" width="14"/>
    <col collapsed="false" customWidth="true" hidden="false" outlineLevel="0" max="6" min="6" style="0" width="90"/>
    <col collapsed="false" customWidth="true" hidden="false" outlineLevel="0" max="7" min="7" style="0" width="36"/>
    <col collapsed="false" customWidth="true" hidden="false" outlineLevel="0" max="8" min="8" style="0" width="11"/>
  </cols>
  <sheetData>
    <row r="1" customFormat="false" ht="19.7" hidden="false" customHeight="false" outlineLevel="0" collapsed="false">
      <c r="A1" s="1" t="s">
        <v>774</v>
      </c>
    </row>
    <row r="2" customFormat="false" ht="15" hidden="false" customHeight="false" outlineLevel="0" collapsed="false">
      <c r="A2" s="2" t="s">
        <v>775</v>
      </c>
    </row>
    <row r="4" customFormat="false" ht="31.5" hidden="false" customHeight="true" outlineLevel="0" collapsed="false">
      <c r="A4" s="7" t="s">
        <v>57</v>
      </c>
      <c r="B4" s="7" t="s">
        <v>69</v>
      </c>
      <c r="C4" s="7" t="s">
        <v>167</v>
      </c>
      <c r="D4" s="7" t="s">
        <v>168</v>
      </c>
      <c r="E4" s="7" t="s">
        <v>155</v>
      </c>
      <c r="F4" s="7" t="s">
        <v>776</v>
      </c>
      <c r="G4" s="7" t="s">
        <v>777</v>
      </c>
      <c r="H4" s="7" t="s">
        <v>778</v>
      </c>
    </row>
    <row r="5" customFormat="false" ht="158.25" hidden="false" customHeight="true" outlineLevel="0" collapsed="false">
      <c r="A5" s="11" t="s">
        <v>30</v>
      </c>
      <c r="B5" s="8" t="s">
        <v>178</v>
      </c>
      <c r="C5" s="11" t="s">
        <v>179</v>
      </c>
      <c r="D5" s="11" t="s">
        <v>180</v>
      </c>
      <c r="E5" s="11" t="s">
        <v>181</v>
      </c>
      <c r="F5" s="11" t="s">
        <v>779</v>
      </c>
      <c r="G5" s="17" t="s">
        <v>780</v>
      </c>
      <c r="H5" s="11" t="s">
        <v>781</v>
      </c>
    </row>
    <row r="6" customFormat="false" ht="109.5" hidden="false" customHeight="true" outlineLevel="0" collapsed="false">
      <c r="A6" s="11" t="s">
        <v>30</v>
      </c>
      <c r="B6" s="8" t="s">
        <v>182</v>
      </c>
      <c r="C6" s="11" t="s">
        <v>182</v>
      </c>
      <c r="D6" s="11" t="s">
        <v>183</v>
      </c>
      <c r="E6" s="11" t="s">
        <v>181</v>
      </c>
      <c r="F6" s="11" t="s">
        <v>782</v>
      </c>
      <c r="G6" s="17" t="s">
        <v>783</v>
      </c>
      <c r="H6" s="11" t="s">
        <v>781</v>
      </c>
    </row>
    <row r="7" customFormat="false" ht="97.5" hidden="false" customHeight="true" outlineLevel="0" collapsed="false">
      <c r="A7" s="11" t="s">
        <v>30</v>
      </c>
      <c r="B7" s="8" t="s">
        <v>184</v>
      </c>
      <c r="C7" s="11" t="s">
        <v>185</v>
      </c>
      <c r="D7" s="11" t="s">
        <v>183</v>
      </c>
      <c r="E7" s="11" t="s">
        <v>181</v>
      </c>
      <c r="F7" s="11" t="s">
        <v>784</v>
      </c>
      <c r="G7" s="17" t="s">
        <v>785</v>
      </c>
      <c r="H7" s="11" t="s">
        <v>786</v>
      </c>
    </row>
    <row r="8" customFormat="false" ht="170.25" hidden="false" customHeight="true" outlineLevel="0" collapsed="false">
      <c r="A8" s="11" t="s">
        <v>30</v>
      </c>
      <c r="B8" s="8" t="s">
        <v>186</v>
      </c>
      <c r="C8" s="11" t="s">
        <v>187</v>
      </c>
      <c r="D8" s="11" t="s">
        <v>183</v>
      </c>
      <c r="E8" s="11" t="s">
        <v>181</v>
      </c>
      <c r="F8" s="11" t="s">
        <v>787</v>
      </c>
      <c r="G8" s="17" t="s">
        <v>788</v>
      </c>
      <c r="H8" s="11" t="s">
        <v>789</v>
      </c>
    </row>
    <row r="9" customFormat="false" ht="170.25" hidden="false" customHeight="true" outlineLevel="0" collapsed="false">
      <c r="A9" s="11" t="s">
        <v>30</v>
      </c>
      <c r="B9" s="8" t="s">
        <v>188</v>
      </c>
      <c r="C9" s="11" t="s">
        <v>189</v>
      </c>
      <c r="D9" s="11" t="s">
        <v>183</v>
      </c>
      <c r="E9" s="11" t="s">
        <v>181</v>
      </c>
      <c r="F9" s="11" t="s">
        <v>790</v>
      </c>
      <c r="G9" s="17" t="s">
        <v>791</v>
      </c>
      <c r="H9" s="11" t="s">
        <v>789</v>
      </c>
    </row>
    <row r="10" customFormat="false" ht="97.5" hidden="false" customHeight="true" outlineLevel="0" collapsed="false">
      <c r="A10" s="11" t="s">
        <v>30</v>
      </c>
      <c r="B10" s="8" t="s">
        <v>190</v>
      </c>
      <c r="C10" s="11" t="s">
        <v>191</v>
      </c>
      <c r="D10" s="11" t="s">
        <v>183</v>
      </c>
      <c r="E10" s="11" t="s">
        <v>181</v>
      </c>
      <c r="F10" s="11" t="s">
        <v>792</v>
      </c>
      <c r="G10" s="17" t="s">
        <v>793</v>
      </c>
      <c r="H10" s="11" t="s">
        <v>794</v>
      </c>
    </row>
    <row r="11" customFormat="false" ht="121.5" hidden="false" customHeight="true" outlineLevel="0" collapsed="false">
      <c r="A11" s="11" t="s">
        <v>30</v>
      </c>
      <c r="B11" s="8" t="s">
        <v>192</v>
      </c>
      <c r="C11" s="11" t="s">
        <v>193</v>
      </c>
      <c r="D11" s="11" t="s">
        <v>183</v>
      </c>
      <c r="E11" s="11" t="s">
        <v>181</v>
      </c>
      <c r="F11" s="11" t="s">
        <v>795</v>
      </c>
      <c r="G11" s="17" t="s">
        <v>796</v>
      </c>
      <c r="H11" s="11" t="s">
        <v>797</v>
      </c>
    </row>
    <row r="12" customFormat="false" ht="109.5" hidden="false" customHeight="true" outlineLevel="0" collapsed="false">
      <c r="A12" s="11" t="s">
        <v>30</v>
      </c>
      <c r="B12" s="8" t="s">
        <v>194</v>
      </c>
      <c r="C12" s="11" t="s">
        <v>194</v>
      </c>
      <c r="D12" s="11" t="s">
        <v>183</v>
      </c>
      <c r="E12" s="11" t="s">
        <v>181</v>
      </c>
      <c r="F12" s="11" t="s">
        <v>798</v>
      </c>
      <c r="G12" s="17" t="s">
        <v>799</v>
      </c>
      <c r="H12" s="11" t="s">
        <v>789</v>
      </c>
    </row>
    <row r="13" customFormat="false" ht="97.5" hidden="false" customHeight="true" outlineLevel="0" collapsed="false">
      <c r="A13" s="11" t="s">
        <v>30</v>
      </c>
      <c r="B13" s="8" t="s">
        <v>195</v>
      </c>
      <c r="C13" s="11" t="s">
        <v>196</v>
      </c>
      <c r="D13" s="11" t="s">
        <v>183</v>
      </c>
      <c r="E13" s="11" t="s">
        <v>181</v>
      </c>
      <c r="F13" s="11" t="s">
        <v>800</v>
      </c>
      <c r="G13" s="17" t="s">
        <v>801</v>
      </c>
      <c r="H13" s="11" t="s">
        <v>794</v>
      </c>
    </row>
    <row r="14" customFormat="false" ht="121.5" hidden="false" customHeight="true" outlineLevel="0" collapsed="false">
      <c r="A14" s="11" t="s">
        <v>30</v>
      </c>
      <c r="B14" s="8" t="s">
        <v>197</v>
      </c>
      <c r="C14" s="11" t="s">
        <v>197</v>
      </c>
      <c r="D14" s="11" t="s">
        <v>183</v>
      </c>
      <c r="E14" s="11" t="s">
        <v>181</v>
      </c>
      <c r="F14" s="11" t="s">
        <v>802</v>
      </c>
      <c r="G14" s="17" t="s">
        <v>803</v>
      </c>
      <c r="H14" s="11" t="s">
        <v>797</v>
      </c>
    </row>
    <row r="15" customFormat="false" ht="146.25" hidden="false" customHeight="true" outlineLevel="0" collapsed="false">
      <c r="A15" s="11" t="s">
        <v>30</v>
      </c>
      <c r="B15" s="8" t="s">
        <v>198</v>
      </c>
      <c r="C15" s="11" t="s">
        <v>86</v>
      </c>
      <c r="D15" s="11" t="s">
        <v>199</v>
      </c>
      <c r="E15" s="11" t="s">
        <v>200</v>
      </c>
      <c r="F15" s="11" t="s">
        <v>804</v>
      </c>
      <c r="G15" s="17" t="s">
        <v>805</v>
      </c>
      <c r="H15" s="11" t="s">
        <v>789</v>
      </c>
    </row>
    <row r="16" customFormat="false" ht="219" hidden="false" customHeight="true" outlineLevel="0" collapsed="false">
      <c r="A16" s="11" t="s">
        <v>30</v>
      </c>
      <c r="B16" s="8" t="s">
        <v>201</v>
      </c>
      <c r="C16" s="11" t="s">
        <v>202</v>
      </c>
      <c r="D16" s="11" t="s">
        <v>203</v>
      </c>
      <c r="E16" s="11" t="s">
        <v>181</v>
      </c>
      <c r="F16" s="11" t="s">
        <v>806</v>
      </c>
      <c r="G16" s="17" t="s">
        <v>807</v>
      </c>
      <c r="H16" s="11" t="s">
        <v>789</v>
      </c>
    </row>
    <row r="17" customFormat="false" ht="97.5" hidden="false" customHeight="true" outlineLevel="0" collapsed="false">
      <c r="A17" s="11" t="s">
        <v>30</v>
      </c>
      <c r="B17" s="8" t="s">
        <v>204</v>
      </c>
      <c r="C17" s="11" t="s">
        <v>205</v>
      </c>
      <c r="D17" s="11" t="s">
        <v>206</v>
      </c>
      <c r="E17" s="11" t="s">
        <v>181</v>
      </c>
      <c r="F17" s="11" t="s">
        <v>808</v>
      </c>
      <c r="G17" s="17" t="s">
        <v>809</v>
      </c>
      <c r="H17" s="11" t="s">
        <v>797</v>
      </c>
    </row>
    <row r="18" customFormat="false" ht="146.25" hidden="false" customHeight="true" outlineLevel="0" collapsed="false">
      <c r="A18" s="11" t="s">
        <v>30</v>
      </c>
      <c r="B18" s="8" t="s">
        <v>207</v>
      </c>
      <c r="C18" s="11" t="s">
        <v>208</v>
      </c>
      <c r="D18" s="11" t="s">
        <v>209</v>
      </c>
      <c r="E18" s="11" t="s">
        <v>181</v>
      </c>
      <c r="F18" s="11" t="s">
        <v>810</v>
      </c>
      <c r="G18" s="17" t="s">
        <v>811</v>
      </c>
      <c r="H18" s="11" t="s">
        <v>789</v>
      </c>
    </row>
    <row r="19" customFormat="false" ht="97.5" hidden="false" customHeight="true" outlineLevel="0" collapsed="false">
      <c r="A19" s="11" t="s">
        <v>30</v>
      </c>
      <c r="B19" s="8" t="s">
        <v>210</v>
      </c>
      <c r="C19" s="11" t="s">
        <v>211</v>
      </c>
      <c r="D19" s="11" t="s">
        <v>212</v>
      </c>
      <c r="E19" s="11" t="s">
        <v>181</v>
      </c>
      <c r="F19" s="11" t="s">
        <v>812</v>
      </c>
      <c r="G19" s="17" t="s">
        <v>813</v>
      </c>
      <c r="H19" s="11" t="s">
        <v>786</v>
      </c>
    </row>
    <row r="20" customFormat="false" ht="109.5" hidden="false" customHeight="true" outlineLevel="0" collapsed="false">
      <c r="A20" s="11" t="s">
        <v>30</v>
      </c>
      <c r="B20" s="8" t="s">
        <v>213</v>
      </c>
      <c r="C20" s="11" t="s">
        <v>214</v>
      </c>
      <c r="D20" s="11" t="s">
        <v>183</v>
      </c>
      <c r="E20" s="11" t="s">
        <v>181</v>
      </c>
      <c r="F20" s="11" t="s">
        <v>814</v>
      </c>
      <c r="G20" s="17" t="s">
        <v>815</v>
      </c>
      <c r="H20" s="11" t="s">
        <v>794</v>
      </c>
    </row>
    <row r="21" customFormat="false" ht="97.5" hidden="false" customHeight="true" outlineLevel="0" collapsed="false">
      <c r="A21" s="11" t="s">
        <v>30</v>
      </c>
      <c r="B21" s="8" t="s">
        <v>215</v>
      </c>
      <c r="C21" s="11" t="s">
        <v>216</v>
      </c>
      <c r="D21" s="11" t="s">
        <v>217</v>
      </c>
      <c r="E21" s="11" t="s">
        <v>181</v>
      </c>
      <c r="F21" s="11" t="s">
        <v>816</v>
      </c>
      <c r="G21" s="17" t="s">
        <v>817</v>
      </c>
      <c r="H21" s="11" t="s">
        <v>786</v>
      </c>
    </row>
    <row r="22" customFormat="false" ht="97.5" hidden="false" customHeight="true" outlineLevel="0" collapsed="false">
      <c r="A22" s="11" t="s">
        <v>30</v>
      </c>
      <c r="B22" s="8" t="s">
        <v>218</v>
      </c>
      <c r="C22" s="11" t="s">
        <v>219</v>
      </c>
      <c r="D22" s="11" t="s">
        <v>183</v>
      </c>
      <c r="E22" s="11" t="s">
        <v>181</v>
      </c>
      <c r="F22" s="11" t="s">
        <v>818</v>
      </c>
      <c r="G22" s="17" t="s">
        <v>819</v>
      </c>
      <c r="H22" s="11" t="s">
        <v>789</v>
      </c>
    </row>
    <row r="23" customFormat="false" ht="146.25" hidden="false" customHeight="true" outlineLevel="0" collapsed="false">
      <c r="A23" s="11" t="s">
        <v>30</v>
      </c>
      <c r="B23" s="8" t="s">
        <v>220</v>
      </c>
      <c r="C23" s="11" t="s">
        <v>221</v>
      </c>
      <c r="D23" s="11" t="s">
        <v>183</v>
      </c>
      <c r="E23" s="11" t="s">
        <v>181</v>
      </c>
      <c r="F23" s="11" t="s">
        <v>820</v>
      </c>
      <c r="G23" s="17" t="s">
        <v>821</v>
      </c>
      <c r="H23" s="11" t="s">
        <v>794</v>
      </c>
    </row>
    <row r="24" customFormat="false" ht="109.5" hidden="false" customHeight="true" outlineLevel="0" collapsed="false">
      <c r="A24" s="11" t="s">
        <v>30</v>
      </c>
      <c r="B24" s="8" t="s">
        <v>222</v>
      </c>
      <c r="C24" s="11" t="s">
        <v>223</v>
      </c>
      <c r="D24" s="11" t="s">
        <v>183</v>
      </c>
      <c r="E24" s="11" t="s">
        <v>181</v>
      </c>
      <c r="F24" s="11" t="s">
        <v>822</v>
      </c>
      <c r="G24" s="17" t="s">
        <v>823</v>
      </c>
      <c r="H24" s="11" t="s">
        <v>786</v>
      </c>
    </row>
    <row r="25" customFormat="false" ht="158.25" hidden="false" customHeight="true" outlineLevel="0" collapsed="false">
      <c r="A25" s="11" t="s">
        <v>30</v>
      </c>
      <c r="B25" s="8" t="s">
        <v>224</v>
      </c>
      <c r="C25" s="11" t="s">
        <v>225</v>
      </c>
      <c r="D25" s="11" t="s">
        <v>212</v>
      </c>
      <c r="E25" s="11" t="s">
        <v>181</v>
      </c>
      <c r="F25" s="11" t="s">
        <v>824</v>
      </c>
      <c r="G25" s="17" t="s">
        <v>825</v>
      </c>
      <c r="H25" s="11" t="s">
        <v>789</v>
      </c>
    </row>
    <row r="26" customFormat="false" ht="158.25" hidden="false" customHeight="true" outlineLevel="0" collapsed="false">
      <c r="A26" s="11" t="s">
        <v>30</v>
      </c>
      <c r="B26" s="8" t="s">
        <v>226</v>
      </c>
      <c r="C26" s="11" t="s">
        <v>227</v>
      </c>
      <c r="D26" s="11" t="s">
        <v>183</v>
      </c>
      <c r="E26" s="11" t="s">
        <v>181</v>
      </c>
      <c r="F26" s="11" t="s">
        <v>826</v>
      </c>
      <c r="G26" s="17" t="s">
        <v>827</v>
      </c>
      <c r="H26" s="11" t="s">
        <v>789</v>
      </c>
    </row>
    <row r="27" customFormat="false" ht="97.5" hidden="false" customHeight="true" outlineLevel="0" collapsed="false">
      <c r="A27" s="11" t="s">
        <v>30</v>
      </c>
      <c r="B27" s="8" t="s">
        <v>228</v>
      </c>
      <c r="C27" s="11" t="s">
        <v>229</v>
      </c>
      <c r="D27" s="11" t="s">
        <v>183</v>
      </c>
      <c r="E27" s="11" t="s">
        <v>181</v>
      </c>
      <c r="F27" s="11" t="s">
        <v>828</v>
      </c>
      <c r="G27" s="17" t="s">
        <v>829</v>
      </c>
      <c r="H27" s="11" t="s">
        <v>781</v>
      </c>
    </row>
    <row r="28" customFormat="false" ht="97.5" hidden="false" customHeight="true" outlineLevel="0" collapsed="false">
      <c r="A28" s="11" t="s">
        <v>30</v>
      </c>
      <c r="B28" s="8" t="s">
        <v>230</v>
      </c>
      <c r="C28" s="11" t="s">
        <v>231</v>
      </c>
      <c r="D28" s="11" t="s">
        <v>232</v>
      </c>
      <c r="E28" s="11" t="s">
        <v>233</v>
      </c>
      <c r="F28" s="11" t="s">
        <v>830</v>
      </c>
      <c r="G28" s="17" t="s">
        <v>831</v>
      </c>
      <c r="H28" s="11" t="s">
        <v>781</v>
      </c>
    </row>
    <row r="29" customFormat="false" ht="133.5" hidden="false" customHeight="true" outlineLevel="0" collapsed="false">
      <c r="A29" s="11" t="s">
        <v>30</v>
      </c>
      <c r="B29" s="8" t="s">
        <v>234</v>
      </c>
      <c r="C29" s="11" t="s">
        <v>235</v>
      </c>
      <c r="D29" s="11" t="s">
        <v>236</v>
      </c>
      <c r="E29" s="11" t="s">
        <v>181</v>
      </c>
      <c r="F29" s="11" t="s">
        <v>832</v>
      </c>
      <c r="G29" s="17" t="s">
        <v>833</v>
      </c>
      <c r="H29" s="11" t="s">
        <v>794</v>
      </c>
    </row>
    <row r="30" customFormat="false" ht="97.5" hidden="false" customHeight="true" outlineLevel="0" collapsed="false">
      <c r="A30" s="11" t="s">
        <v>30</v>
      </c>
      <c r="B30" s="8" t="s">
        <v>237</v>
      </c>
      <c r="C30" s="11" t="s">
        <v>238</v>
      </c>
      <c r="D30" s="11" t="s">
        <v>239</v>
      </c>
      <c r="E30" s="11" t="s">
        <v>233</v>
      </c>
      <c r="F30" s="11" t="s">
        <v>830</v>
      </c>
      <c r="G30" s="17" t="s">
        <v>834</v>
      </c>
      <c r="H30" s="11" t="s">
        <v>781</v>
      </c>
    </row>
    <row r="31" customFormat="false" ht="243.75" hidden="false" customHeight="true" outlineLevel="0" collapsed="false">
      <c r="A31" s="11" t="s">
        <v>30</v>
      </c>
      <c r="B31" s="8" t="s">
        <v>240</v>
      </c>
      <c r="C31" s="11" t="s">
        <v>241</v>
      </c>
      <c r="D31" s="11" t="s">
        <v>242</v>
      </c>
      <c r="E31" s="11" t="s">
        <v>181</v>
      </c>
      <c r="F31" s="11" t="s">
        <v>835</v>
      </c>
      <c r="G31" s="17" t="s">
        <v>836</v>
      </c>
      <c r="H31" s="11" t="s">
        <v>789</v>
      </c>
    </row>
    <row r="32" customFormat="false" ht="97.5" hidden="false" customHeight="true" outlineLevel="0" collapsed="false">
      <c r="A32" s="11" t="s">
        <v>30</v>
      </c>
      <c r="B32" s="8" t="s">
        <v>243</v>
      </c>
      <c r="C32" s="11" t="s">
        <v>244</v>
      </c>
      <c r="D32" s="11" t="s">
        <v>232</v>
      </c>
      <c r="E32" s="11" t="s">
        <v>233</v>
      </c>
      <c r="F32" s="11" t="s">
        <v>837</v>
      </c>
      <c r="G32" s="17" t="s">
        <v>838</v>
      </c>
      <c r="H32" s="11" t="s">
        <v>781</v>
      </c>
    </row>
    <row r="33" customFormat="false" ht="97.5" hidden="false" customHeight="true" outlineLevel="0" collapsed="false">
      <c r="A33" s="11" t="s">
        <v>30</v>
      </c>
      <c r="B33" s="8" t="s">
        <v>245</v>
      </c>
      <c r="C33" s="11" t="s">
        <v>246</v>
      </c>
      <c r="D33" s="11" t="s">
        <v>247</v>
      </c>
      <c r="E33" s="11" t="s">
        <v>233</v>
      </c>
      <c r="F33" s="11" t="s">
        <v>839</v>
      </c>
      <c r="G33" s="17" t="s">
        <v>840</v>
      </c>
      <c r="H33" s="11" t="s">
        <v>781</v>
      </c>
    </row>
    <row r="34" customFormat="false" ht="97.5" hidden="false" customHeight="true" outlineLevel="0" collapsed="false">
      <c r="A34" s="11" t="s">
        <v>30</v>
      </c>
      <c r="B34" s="8" t="s">
        <v>248</v>
      </c>
      <c r="C34" s="11" t="s">
        <v>249</v>
      </c>
      <c r="D34" s="11" t="s">
        <v>250</v>
      </c>
      <c r="E34" s="11" t="s">
        <v>233</v>
      </c>
      <c r="F34" s="11" t="s">
        <v>830</v>
      </c>
      <c r="G34" s="17" t="s">
        <v>841</v>
      </c>
      <c r="H34" s="11" t="s">
        <v>781</v>
      </c>
    </row>
    <row r="35" customFormat="false" ht="146.25" hidden="false" customHeight="true" outlineLevel="0" collapsed="false">
      <c r="A35" s="11" t="s">
        <v>30</v>
      </c>
      <c r="B35" s="8" t="s">
        <v>251</v>
      </c>
      <c r="C35" s="11" t="s">
        <v>252</v>
      </c>
      <c r="D35" s="11" t="s">
        <v>253</v>
      </c>
      <c r="E35" s="11" t="s">
        <v>181</v>
      </c>
      <c r="F35" s="11" t="s">
        <v>842</v>
      </c>
      <c r="G35" s="17" t="s">
        <v>843</v>
      </c>
      <c r="H35" s="11" t="s">
        <v>789</v>
      </c>
    </row>
    <row r="36" customFormat="false" ht="255.75" hidden="false" customHeight="true" outlineLevel="0" collapsed="false">
      <c r="A36" s="11" t="s">
        <v>30</v>
      </c>
      <c r="B36" s="8" t="s">
        <v>254</v>
      </c>
      <c r="C36" s="11" t="s">
        <v>255</v>
      </c>
      <c r="D36" s="11" t="s">
        <v>256</v>
      </c>
      <c r="E36" s="11" t="s">
        <v>181</v>
      </c>
      <c r="F36" s="11" t="s">
        <v>844</v>
      </c>
      <c r="G36" s="17" t="s">
        <v>845</v>
      </c>
      <c r="H36" s="11" t="s">
        <v>789</v>
      </c>
    </row>
    <row r="37" customFormat="false" ht="97.5" hidden="false" customHeight="true" outlineLevel="0" collapsed="false">
      <c r="A37" s="11" t="s">
        <v>30</v>
      </c>
      <c r="B37" s="8" t="s">
        <v>257</v>
      </c>
      <c r="C37" s="11" t="s">
        <v>258</v>
      </c>
      <c r="D37" s="11" t="s">
        <v>259</v>
      </c>
      <c r="E37" s="11" t="s">
        <v>233</v>
      </c>
      <c r="F37" s="11" t="s">
        <v>830</v>
      </c>
      <c r="G37" s="17" t="s">
        <v>846</v>
      </c>
      <c r="H37" s="11" t="s">
        <v>781</v>
      </c>
    </row>
    <row r="38" customFormat="false" ht="146.25" hidden="false" customHeight="true" outlineLevel="0" collapsed="false">
      <c r="A38" s="11" t="s">
        <v>32</v>
      </c>
      <c r="B38" s="8" t="s">
        <v>178</v>
      </c>
      <c r="C38" s="11" t="s">
        <v>260</v>
      </c>
      <c r="D38" s="11" t="s">
        <v>261</v>
      </c>
      <c r="E38" s="11" t="s">
        <v>181</v>
      </c>
      <c r="F38" s="11" t="s">
        <v>847</v>
      </c>
      <c r="G38" s="17" t="s">
        <v>848</v>
      </c>
      <c r="H38" s="11" t="s">
        <v>797</v>
      </c>
    </row>
    <row r="39" customFormat="false" ht="84.75" hidden="false" customHeight="true" outlineLevel="0" collapsed="false">
      <c r="A39" s="11" t="s">
        <v>32</v>
      </c>
      <c r="B39" s="8" t="s">
        <v>262</v>
      </c>
      <c r="C39" s="11" t="s">
        <v>263</v>
      </c>
      <c r="D39" s="11" t="s">
        <v>183</v>
      </c>
      <c r="E39" s="11" t="s">
        <v>264</v>
      </c>
      <c r="F39" s="11" t="s">
        <v>849</v>
      </c>
      <c r="G39" s="17" t="s">
        <v>850</v>
      </c>
      <c r="H39" s="11" t="s">
        <v>786</v>
      </c>
    </row>
    <row r="40" customFormat="false" ht="84.75" hidden="false" customHeight="true" outlineLevel="0" collapsed="false">
      <c r="A40" s="11" t="s">
        <v>32</v>
      </c>
      <c r="B40" s="8" t="s">
        <v>185</v>
      </c>
      <c r="C40" s="11" t="s">
        <v>185</v>
      </c>
      <c r="D40" s="11" t="s">
        <v>183</v>
      </c>
      <c r="E40" s="11" t="s">
        <v>181</v>
      </c>
      <c r="F40" s="11" t="s">
        <v>851</v>
      </c>
      <c r="G40" s="17" t="s">
        <v>852</v>
      </c>
      <c r="H40" s="11" t="s">
        <v>786</v>
      </c>
    </row>
    <row r="41" customFormat="false" ht="183" hidden="false" customHeight="true" outlineLevel="0" collapsed="false">
      <c r="A41" s="11" t="s">
        <v>32</v>
      </c>
      <c r="B41" s="8" t="s">
        <v>81</v>
      </c>
      <c r="C41" s="11" t="s">
        <v>187</v>
      </c>
      <c r="D41" s="11" t="s">
        <v>183</v>
      </c>
      <c r="E41" s="11" t="s">
        <v>181</v>
      </c>
      <c r="F41" s="11" t="s">
        <v>853</v>
      </c>
      <c r="G41" s="17" t="s">
        <v>854</v>
      </c>
      <c r="H41" s="11" t="s">
        <v>789</v>
      </c>
    </row>
    <row r="42" customFormat="false" ht="84.75" hidden="false" customHeight="true" outlineLevel="0" collapsed="false">
      <c r="A42" s="11" t="s">
        <v>32</v>
      </c>
      <c r="B42" s="8" t="s">
        <v>265</v>
      </c>
      <c r="C42" s="11" t="s">
        <v>266</v>
      </c>
      <c r="D42" s="11" t="s">
        <v>267</v>
      </c>
      <c r="E42" s="11" t="s">
        <v>233</v>
      </c>
      <c r="F42" s="11" t="s">
        <v>855</v>
      </c>
      <c r="G42" s="17" t="s">
        <v>856</v>
      </c>
      <c r="H42" s="11" t="s">
        <v>789</v>
      </c>
    </row>
    <row r="43" customFormat="false" ht="146.25" hidden="false" customHeight="true" outlineLevel="0" collapsed="false">
      <c r="A43" s="11" t="s">
        <v>32</v>
      </c>
      <c r="B43" s="8" t="s">
        <v>268</v>
      </c>
      <c r="C43" s="11" t="s">
        <v>269</v>
      </c>
      <c r="D43" s="11" t="s">
        <v>183</v>
      </c>
      <c r="E43" s="11" t="s">
        <v>181</v>
      </c>
      <c r="F43" s="11" t="s">
        <v>857</v>
      </c>
      <c r="G43" s="17" t="s">
        <v>858</v>
      </c>
      <c r="H43" s="11" t="s">
        <v>789</v>
      </c>
    </row>
    <row r="44" customFormat="false" ht="97.5" hidden="false" customHeight="true" outlineLevel="0" collapsed="false">
      <c r="A44" s="11" t="s">
        <v>32</v>
      </c>
      <c r="B44" s="8" t="s">
        <v>270</v>
      </c>
      <c r="C44" s="11" t="s">
        <v>271</v>
      </c>
      <c r="D44" s="11" t="s">
        <v>183</v>
      </c>
      <c r="E44" s="11" t="s">
        <v>272</v>
      </c>
      <c r="F44" s="11" t="s">
        <v>859</v>
      </c>
      <c r="G44" s="17" t="s">
        <v>860</v>
      </c>
      <c r="H44" s="11" t="s">
        <v>797</v>
      </c>
    </row>
    <row r="45" customFormat="false" ht="84.75" hidden="false" customHeight="true" outlineLevel="0" collapsed="false">
      <c r="A45" s="11" t="s">
        <v>32</v>
      </c>
      <c r="B45" s="8" t="s">
        <v>273</v>
      </c>
      <c r="C45" s="11" t="s">
        <v>274</v>
      </c>
      <c r="D45" s="11" t="s">
        <v>183</v>
      </c>
      <c r="E45" s="11" t="s">
        <v>275</v>
      </c>
      <c r="F45" s="11" t="s">
        <v>861</v>
      </c>
      <c r="G45" s="17" t="s">
        <v>862</v>
      </c>
      <c r="H45" s="11" t="s">
        <v>789</v>
      </c>
    </row>
    <row r="46" customFormat="false" ht="109.5" hidden="false" customHeight="true" outlineLevel="0" collapsed="false">
      <c r="A46" s="11" t="s">
        <v>32</v>
      </c>
      <c r="B46" s="8" t="s">
        <v>86</v>
      </c>
      <c r="C46" s="11" t="s">
        <v>86</v>
      </c>
      <c r="D46" s="11" t="s">
        <v>276</v>
      </c>
      <c r="E46" s="11" t="s">
        <v>181</v>
      </c>
      <c r="F46" s="11" t="s">
        <v>863</v>
      </c>
      <c r="G46" s="17" t="s">
        <v>864</v>
      </c>
      <c r="H46" s="11" t="s">
        <v>789</v>
      </c>
    </row>
    <row r="47" customFormat="false" ht="97.5" hidden="false" customHeight="true" outlineLevel="0" collapsed="false">
      <c r="A47" s="11" t="s">
        <v>32</v>
      </c>
      <c r="B47" s="8" t="s">
        <v>277</v>
      </c>
      <c r="C47" s="11" t="s">
        <v>277</v>
      </c>
      <c r="D47" s="11" t="s">
        <v>278</v>
      </c>
      <c r="E47" s="11" t="s">
        <v>279</v>
      </c>
      <c r="F47" s="11" t="s">
        <v>865</v>
      </c>
      <c r="G47" s="17" t="s">
        <v>866</v>
      </c>
      <c r="H47" s="11" t="s">
        <v>797</v>
      </c>
    </row>
    <row r="48" customFormat="false" ht="109.5" hidden="false" customHeight="true" outlineLevel="0" collapsed="false">
      <c r="A48" s="11" t="s">
        <v>32</v>
      </c>
      <c r="B48" s="8" t="s">
        <v>280</v>
      </c>
      <c r="C48" s="11" t="s">
        <v>202</v>
      </c>
      <c r="D48" s="11" t="s">
        <v>281</v>
      </c>
      <c r="E48" s="11" t="s">
        <v>181</v>
      </c>
      <c r="F48" s="11" t="s">
        <v>867</v>
      </c>
      <c r="G48" s="17" t="s">
        <v>868</v>
      </c>
      <c r="H48" s="11" t="s">
        <v>789</v>
      </c>
    </row>
    <row r="49" customFormat="false" ht="121.5" hidden="false" customHeight="true" outlineLevel="0" collapsed="false">
      <c r="A49" s="11" t="s">
        <v>32</v>
      </c>
      <c r="B49" s="8" t="s">
        <v>282</v>
      </c>
      <c r="C49" s="11" t="s">
        <v>283</v>
      </c>
      <c r="D49" s="11" t="s">
        <v>183</v>
      </c>
      <c r="E49" s="11" t="s">
        <v>284</v>
      </c>
      <c r="F49" s="11" t="s">
        <v>869</v>
      </c>
      <c r="G49" s="17" t="s">
        <v>870</v>
      </c>
      <c r="H49" s="11" t="s">
        <v>789</v>
      </c>
    </row>
    <row r="50" customFormat="false" ht="121.5" hidden="false" customHeight="true" outlineLevel="0" collapsed="false">
      <c r="A50" s="11" t="s">
        <v>32</v>
      </c>
      <c r="B50" s="8" t="s">
        <v>285</v>
      </c>
      <c r="C50" s="11" t="s">
        <v>286</v>
      </c>
      <c r="D50" s="11" t="s">
        <v>183</v>
      </c>
      <c r="E50" s="11" t="s">
        <v>181</v>
      </c>
      <c r="F50" s="11" t="s">
        <v>871</v>
      </c>
      <c r="G50" s="17" t="s">
        <v>872</v>
      </c>
      <c r="H50" s="11" t="s">
        <v>789</v>
      </c>
    </row>
    <row r="51" customFormat="false" ht="121.5" hidden="false" customHeight="true" outlineLevel="0" collapsed="false">
      <c r="A51" s="11" t="s">
        <v>32</v>
      </c>
      <c r="B51" s="8" t="s">
        <v>287</v>
      </c>
      <c r="C51" s="11" t="s">
        <v>288</v>
      </c>
      <c r="D51" s="11" t="s">
        <v>183</v>
      </c>
      <c r="E51" s="11" t="s">
        <v>289</v>
      </c>
      <c r="F51" s="11" t="s">
        <v>873</v>
      </c>
      <c r="G51" s="17" t="s">
        <v>874</v>
      </c>
      <c r="H51" s="11" t="s">
        <v>797</v>
      </c>
    </row>
    <row r="52" customFormat="false" ht="84.75" hidden="false" customHeight="true" outlineLevel="0" collapsed="false">
      <c r="A52" s="11" t="s">
        <v>32</v>
      </c>
      <c r="B52" s="8" t="s">
        <v>290</v>
      </c>
      <c r="C52" s="11" t="s">
        <v>291</v>
      </c>
      <c r="D52" s="11" t="s">
        <v>183</v>
      </c>
      <c r="E52" s="11" t="s">
        <v>292</v>
      </c>
      <c r="F52" s="11" t="s">
        <v>875</v>
      </c>
      <c r="G52" s="17" t="s">
        <v>876</v>
      </c>
      <c r="H52" s="11" t="s">
        <v>786</v>
      </c>
    </row>
    <row r="53" customFormat="false" ht="133.5" hidden="false" customHeight="true" outlineLevel="0" collapsed="false">
      <c r="A53" s="11" t="s">
        <v>32</v>
      </c>
      <c r="B53" s="8" t="s">
        <v>293</v>
      </c>
      <c r="C53" s="11" t="s">
        <v>294</v>
      </c>
      <c r="D53" s="11" t="s">
        <v>295</v>
      </c>
      <c r="E53" s="11" t="s">
        <v>181</v>
      </c>
      <c r="F53" s="11" t="s">
        <v>877</v>
      </c>
      <c r="G53" s="17" t="s">
        <v>878</v>
      </c>
      <c r="H53" s="11" t="s">
        <v>789</v>
      </c>
    </row>
    <row r="54" customFormat="false" ht="121.5" hidden="false" customHeight="true" outlineLevel="0" collapsed="false">
      <c r="A54" s="11" t="s">
        <v>32</v>
      </c>
      <c r="B54" s="8" t="s">
        <v>296</v>
      </c>
      <c r="C54" s="11" t="s">
        <v>297</v>
      </c>
      <c r="D54" s="11" t="s">
        <v>183</v>
      </c>
      <c r="E54" s="11" t="s">
        <v>298</v>
      </c>
      <c r="F54" s="11" t="s">
        <v>879</v>
      </c>
      <c r="G54" s="17" t="s">
        <v>880</v>
      </c>
      <c r="H54" s="11" t="s">
        <v>786</v>
      </c>
    </row>
    <row r="55" customFormat="false" ht="84.75" hidden="false" customHeight="true" outlineLevel="0" collapsed="false">
      <c r="A55" s="11" t="s">
        <v>32</v>
      </c>
      <c r="B55" s="8" t="s">
        <v>299</v>
      </c>
      <c r="C55" s="11" t="s">
        <v>300</v>
      </c>
      <c r="D55" s="11" t="s">
        <v>183</v>
      </c>
      <c r="E55" s="11" t="s">
        <v>181</v>
      </c>
      <c r="F55" s="11" t="s">
        <v>881</v>
      </c>
      <c r="G55" s="17" t="s">
        <v>882</v>
      </c>
      <c r="H55" s="11" t="s">
        <v>789</v>
      </c>
    </row>
    <row r="56" customFormat="false" ht="84.75" hidden="false" customHeight="true" outlineLevel="0" collapsed="false">
      <c r="A56" s="11" t="s">
        <v>32</v>
      </c>
      <c r="B56" s="8" t="s">
        <v>301</v>
      </c>
      <c r="C56" s="11" t="s">
        <v>302</v>
      </c>
      <c r="D56" s="11" t="s">
        <v>183</v>
      </c>
      <c r="E56" s="11" t="s">
        <v>279</v>
      </c>
      <c r="F56" s="11" t="s">
        <v>883</v>
      </c>
      <c r="G56" s="17" t="s">
        <v>884</v>
      </c>
      <c r="H56" s="11" t="s">
        <v>786</v>
      </c>
    </row>
    <row r="57" customFormat="false" ht="121.5" hidden="false" customHeight="true" outlineLevel="0" collapsed="false">
      <c r="A57" s="11" t="s">
        <v>32</v>
      </c>
      <c r="B57" s="8" t="s">
        <v>303</v>
      </c>
      <c r="C57" s="11" t="s">
        <v>304</v>
      </c>
      <c r="D57" s="11" t="s">
        <v>305</v>
      </c>
      <c r="E57" s="11" t="s">
        <v>181</v>
      </c>
      <c r="F57" s="11" t="s">
        <v>885</v>
      </c>
      <c r="G57" s="17" t="s">
        <v>886</v>
      </c>
      <c r="H57" s="11" t="s">
        <v>789</v>
      </c>
    </row>
    <row r="58" customFormat="false" ht="170.25" hidden="false" customHeight="true" outlineLevel="0" collapsed="false">
      <c r="A58" s="11" t="s">
        <v>32</v>
      </c>
      <c r="B58" s="8" t="s">
        <v>306</v>
      </c>
      <c r="C58" s="11" t="s">
        <v>225</v>
      </c>
      <c r="D58" s="11" t="s">
        <v>183</v>
      </c>
      <c r="E58" s="11" t="s">
        <v>181</v>
      </c>
      <c r="F58" s="11" t="s">
        <v>887</v>
      </c>
      <c r="G58" s="17" t="s">
        <v>888</v>
      </c>
      <c r="H58" s="11" t="s">
        <v>789</v>
      </c>
    </row>
    <row r="59" customFormat="false" ht="97.5" hidden="false" customHeight="true" outlineLevel="0" collapsed="false">
      <c r="A59" s="11" t="s">
        <v>32</v>
      </c>
      <c r="B59" s="8" t="s">
        <v>307</v>
      </c>
      <c r="C59" s="11" t="s">
        <v>308</v>
      </c>
      <c r="D59" s="11" t="s">
        <v>309</v>
      </c>
      <c r="E59" s="11" t="s">
        <v>181</v>
      </c>
      <c r="F59" s="11" t="s">
        <v>889</v>
      </c>
      <c r="G59" s="17" t="s">
        <v>890</v>
      </c>
      <c r="H59" s="11" t="s">
        <v>789</v>
      </c>
    </row>
    <row r="60" customFormat="false" ht="146.25" hidden="false" customHeight="true" outlineLevel="0" collapsed="false">
      <c r="A60" s="11" t="s">
        <v>32</v>
      </c>
      <c r="B60" s="8" t="s">
        <v>310</v>
      </c>
      <c r="C60" s="11" t="s">
        <v>311</v>
      </c>
      <c r="D60" s="11" t="s">
        <v>312</v>
      </c>
      <c r="E60" s="11" t="s">
        <v>181</v>
      </c>
      <c r="F60" s="11" t="s">
        <v>891</v>
      </c>
      <c r="G60" s="17" t="s">
        <v>892</v>
      </c>
      <c r="H60" s="11" t="s">
        <v>789</v>
      </c>
    </row>
    <row r="61" customFormat="false" ht="133.5" hidden="false" customHeight="true" outlineLevel="0" collapsed="false">
      <c r="A61" s="11" t="s">
        <v>32</v>
      </c>
      <c r="B61" s="8" t="s">
        <v>313</v>
      </c>
      <c r="C61" s="11" t="s">
        <v>314</v>
      </c>
      <c r="D61" s="11" t="s">
        <v>183</v>
      </c>
      <c r="E61" s="11" t="s">
        <v>181</v>
      </c>
      <c r="F61" s="11" t="s">
        <v>893</v>
      </c>
      <c r="G61" s="17" t="s">
        <v>894</v>
      </c>
      <c r="H61" s="11" t="s">
        <v>789</v>
      </c>
    </row>
    <row r="62" customFormat="false" ht="84.75" hidden="false" customHeight="true" outlineLevel="0" collapsed="false">
      <c r="A62" s="11" t="s">
        <v>32</v>
      </c>
      <c r="B62" s="8" t="s">
        <v>315</v>
      </c>
      <c r="C62" s="11" t="s">
        <v>316</v>
      </c>
      <c r="D62" s="11" t="s">
        <v>212</v>
      </c>
      <c r="E62" s="11" t="s">
        <v>181</v>
      </c>
      <c r="F62" s="11" t="s">
        <v>895</v>
      </c>
      <c r="G62" s="17" t="s">
        <v>896</v>
      </c>
      <c r="H62" s="11" t="s">
        <v>786</v>
      </c>
    </row>
    <row r="63" customFormat="false" ht="183" hidden="false" customHeight="true" outlineLevel="0" collapsed="false">
      <c r="A63" s="11" t="s">
        <v>32</v>
      </c>
      <c r="B63" s="8" t="s">
        <v>317</v>
      </c>
      <c r="C63" s="11" t="s">
        <v>318</v>
      </c>
      <c r="D63" s="11" t="s">
        <v>319</v>
      </c>
      <c r="E63" s="11" t="s">
        <v>320</v>
      </c>
      <c r="F63" s="11" t="s">
        <v>897</v>
      </c>
      <c r="G63" s="17" t="s">
        <v>898</v>
      </c>
      <c r="H63" s="11" t="s">
        <v>789</v>
      </c>
    </row>
    <row r="64" customFormat="false" ht="84.75" hidden="false" customHeight="true" outlineLevel="0" collapsed="false">
      <c r="A64" s="11" t="s">
        <v>32</v>
      </c>
      <c r="B64" s="8" t="s">
        <v>321</v>
      </c>
      <c r="C64" s="11" t="s">
        <v>322</v>
      </c>
      <c r="D64" s="11" t="s">
        <v>323</v>
      </c>
      <c r="E64" s="11" t="s">
        <v>233</v>
      </c>
      <c r="F64" s="11" t="s">
        <v>899</v>
      </c>
      <c r="G64" s="17" t="s">
        <v>900</v>
      </c>
      <c r="H64" s="11" t="s">
        <v>789</v>
      </c>
    </row>
    <row r="65" customFormat="false" ht="84.75" hidden="false" customHeight="true" outlineLevel="0" collapsed="false">
      <c r="A65" s="11" t="s">
        <v>32</v>
      </c>
      <c r="B65" s="8" t="s">
        <v>324</v>
      </c>
      <c r="C65" s="11" t="s">
        <v>325</v>
      </c>
      <c r="D65" s="11" t="s">
        <v>326</v>
      </c>
      <c r="E65" s="11" t="s">
        <v>233</v>
      </c>
      <c r="F65" s="11" t="s">
        <v>901</v>
      </c>
      <c r="G65" s="17" t="s">
        <v>902</v>
      </c>
      <c r="H65" s="11" t="s">
        <v>789</v>
      </c>
    </row>
    <row r="66" customFormat="false" ht="84.75" hidden="false" customHeight="true" outlineLevel="0" collapsed="false">
      <c r="A66" s="11" t="s">
        <v>32</v>
      </c>
      <c r="B66" s="8" t="s">
        <v>327</v>
      </c>
      <c r="C66" s="11" t="s">
        <v>328</v>
      </c>
      <c r="D66" s="11" t="s">
        <v>329</v>
      </c>
      <c r="E66" s="11" t="s">
        <v>181</v>
      </c>
      <c r="F66" s="11" t="s">
        <v>903</v>
      </c>
      <c r="G66" s="17" t="s">
        <v>904</v>
      </c>
      <c r="H66" s="11" t="s">
        <v>786</v>
      </c>
    </row>
    <row r="67" customFormat="false" ht="84.75" hidden="false" customHeight="true" outlineLevel="0" collapsed="false">
      <c r="A67" s="11" t="s">
        <v>32</v>
      </c>
      <c r="B67" s="8" t="s">
        <v>330</v>
      </c>
      <c r="C67" s="11" t="s">
        <v>331</v>
      </c>
      <c r="D67" s="11" t="s">
        <v>323</v>
      </c>
      <c r="E67" s="11" t="s">
        <v>233</v>
      </c>
      <c r="F67" s="11" t="s">
        <v>901</v>
      </c>
      <c r="G67" s="17" t="s">
        <v>905</v>
      </c>
      <c r="H67" s="11" t="s">
        <v>789</v>
      </c>
    </row>
    <row r="68" customFormat="false" ht="84.75" hidden="false" customHeight="true" outlineLevel="0" collapsed="false">
      <c r="A68" s="11" t="s">
        <v>32</v>
      </c>
      <c r="B68" s="8" t="s">
        <v>332</v>
      </c>
      <c r="C68" s="11" t="s">
        <v>333</v>
      </c>
      <c r="D68" s="11" t="s">
        <v>323</v>
      </c>
      <c r="E68" s="11" t="s">
        <v>233</v>
      </c>
      <c r="F68" s="11" t="s">
        <v>901</v>
      </c>
      <c r="G68" s="17" t="s">
        <v>906</v>
      </c>
      <c r="H68" s="11" t="s">
        <v>789</v>
      </c>
    </row>
    <row r="69" customFormat="false" ht="84.75" hidden="false" customHeight="true" outlineLevel="0" collapsed="false">
      <c r="A69" s="11" t="s">
        <v>32</v>
      </c>
      <c r="B69" s="8" t="s">
        <v>334</v>
      </c>
      <c r="C69" s="11" t="s">
        <v>335</v>
      </c>
      <c r="D69" s="11" t="s">
        <v>336</v>
      </c>
      <c r="E69" s="11" t="s">
        <v>181</v>
      </c>
      <c r="F69" s="11" t="s">
        <v>907</v>
      </c>
      <c r="G69" s="17" t="s">
        <v>908</v>
      </c>
      <c r="H69" s="11" t="s">
        <v>789</v>
      </c>
    </row>
    <row r="70" customFormat="false" ht="84.75" hidden="false" customHeight="true" outlineLevel="0" collapsed="false">
      <c r="A70" s="11" t="s">
        <v>32</v>
      </c>
      <c r="B70" s="8" t="s">
        <v>337</v>
      </c>
      <c r="C70" s="11" t="s">
        <v>338</v>
      </c>
      <c r="D70" s="11" t="s">
        <v>339</v>
      </c>
      <c r="E70" s="11" t="s">
        <v>340</v>
      </c>
      <c r="F70" s="11" t="s">
        <v>909</v>
      </c>
      <c r="G70" s="17" t="s">
        <v>910</v>
      </c>
      <c r="H70" s="11" t="s">
        <v>789</v>
      </c>
    </row>
    <row r="71" customFormat="false" ht="97.5" hidden="false" customHeight="true" outlineLevel="0" collapsed="false">
      <c r="A71" s="11" t="s">
        <v>34</v>
      </c>
      <c r="B71" s="8" t="s">
        <v>341</v>
      </c>
      <c r="C71" s="11" t="s">
        <v>178</v>
      </c>
      <c r="D71" s="11" t="s">
        <v>342</v>
      </c>
      <c r="E71" s="11" t="s">
        <v>343</v>
      </c>
      <c r="F71" s="11" t="s">
        <v>911</v>
      </c>
      <c r="G71" s="17" t="s">
        <v>780</v>
      </c>
      <c r="H71" s="11" t="s">
        <v>781</v>
      </c>
    </row>
    <row r="72" customFormat="false" ht="72.75" hidden="false" customHeight="true" outlineLevel="0" collapsed="false">
      <c r="A72" s="11" t="s">
        <v>34</v>
      </c>
      <c r="B72" s="8" t="s">
        <v>344</v>
      </c>
      <c r="C72" s="11" t="s">
        <v>185</v>
      </c>
      <c r="D72" s="11" t="s">
        <v>183</v>
      </c>
      <c r="E72" s="11" t="s">
        <v>345</v>
      </c>
      <c r="F72" s="11" t="s">
        <v>912</v>
      </c>
      <c r="G72" s="17" t="s">
        <v>913</v>
      </c>
      <c r="H72" s="11" t="s">
        <v>781</v>
      </c>
    </row>
    <row r="73" customFormat="false" ht="133.5" hidden="false" customHeight="true" outlineLevel="0" collapsed="false">
      <c r="A73" s="11" t="s">
        <v>34</v>
      </c>
      <c r="B73" s="8" t="s">
        <v>346</v>
      </c>
      <c r="C73" s="11" t="s">
        <v>347</v>
      </c>
      <c r="D73" s="11" t="s">
        <v>348</v>
      </c>
      <c r="E73" s="11" t="s">
        <v>349</v>
      </c>
      <c r="F73" s="11" t="s">
        <v>914</v>
      </c>
      <c r="G73" s="17" t="s">
        <v>915</v>
      </c>
      <c r="H73" s="11" t="s">
        <v>789</v>
      </c>
    </row>
    <row r="74" customFormat="false" ht="72.75" hidden="false" customHeight="true" outlineLevel="0" collapsed="false">
      <c r="A74" s="11" t="s">
        <v>34</v>
      </c>
      <c r="B74" s="8" t="s">
        <v>350</v>
      </c>
      <c r="C74" s="11" t="s">
        <v>269</v>
      </c>
      <c r="D74" s="11" t="s">
        <v>351</v>
      </c>
      <c r="E74" s="11" t="s">
        <v>352</v>
      </c>
      <c r="F74" s="11" t="s">
        <v>916</v>
      </c>
      <c r="G74" s="17" t="s">
        <v>917</v>
      </c>
      <c r="H74" s="11" t="s">
        <v>789</v>
      </c>
    </row>
    <row r="75" customFormat="false" ht="72.75" hidden="false" customHeight="true" outlineLevel="0" collapsed="false">
      <c r="A75" s="11" t="s">
        <v>34</v>
      </c>
      <c r="B75" s="8" t="s">
        <v>353</v>
      </c>
      <c r="C75" s="11" t="s">
        <v>354</v>
      </c>
      <c r="D75" s="11" t="s">
        <v>183</v>
      </c>
      <c r="E75" s="11" t="s">
        <v>355</v>
      </c>
      <c r="F75" s="11" t="s">
        <v>918</v>
      </c>
      <c r="G75" s="17" t="s">
        <v>919</v>
      </c>
      <c r="H75" s="11" t="s">
        <v>797</v>
      </c>
    </row>
    <row r="76" customFormat="false" ht="109.5" hidden="false" customHeight="true" outlineLevel="0" collapsed="false">
      <c r="A76" s="11" t="s">
        <v>34</v>
      </c>
      <c r="B76" s="8" t="s">
        <v>356</v>
      </c>
      <c r="C76" s="11" t="s">
        <v>271</v>
      </c>
      <c r="D76" s="11" t="s">
        <v>183</v>
      </c>
      <c r="E76" s="11" t="s">
        <v>357</v>
      </c>
      <c r="F76" s="11" t="s">
        <v>920</v>
      </c>
      <c r="G76" s="17" t="s">
        <v>921</v>
      </c>
      <c r="H76" s="11" t="s">
        <v>781</v>
      </c>
    </row>
    <row r="77" customFormat="false" ht="72.75" hidden="false" customHeight="true" outlineLevel="0" collapsed="false">
      <c r="A77" s="11" t="s">
        <v>34</v>
      </c>
      <c r="B77" s="8" t="s">
        <v>358</v>
      </c>
      <c r="C77" s="11" t="s">
        <v>359</v>
      </c>
      <c r="D77" s="11" t="s">
        <v>183</v>
      </c>
      <c r="E77" s="11" t="s">
        <v>360</v>
      </c>
      <c r="F77" s="11" t="s">
        <v>922</v>
      </c>
      <c r="G77" s="17" t="s">
        <v>923</v>
      </c>
      <c r="H77" s="11" t="s">
        <v>789</v>
      </c>
    </row>
    <row r="78" customFormat="false" ht="121.5" hidden="false" customHeight="true" outlineLevel="0" collapsed="false">
      <c r="A78" s="11" t="s">
        <v>34</v>
      </c>
      <c r="B78" s="8" t="s">
        <v>361</v>
      </c>
      <c r="C78" s="11" t="s">
        <v>89</v>
      </c>
      <c r="D78" s="11" t="s">
        <v>362</v>
      </c>
      <c r="E78" s="11" t="s">
        <v>363</v>
      </c>
      <c r="F78" s="11" t="s">
        <v>924</v>
      </c>
      <c r="G78" s="17" t="s">
        <v>925</v>
      </c>
      <c r="H78" s="11" t="s">
        <v>789</v>
      </c>
    </row>
    <row r="79" customFormat="false" ht="183" hidden="false" customHeight="true" outlineLevel="0" collapsed="false">
      <c r="A79" s="11" t="s">
        <v>34</v>
      </c>
      <c r="B79" s="8" t="s">
        <v>364</v>
      </c>
      <c r="C79" s="11" t="s">
        <v>202</v>
      </c>
      <c r="D79" s="11" t="s">
        <v>365</v>
      </c>
      <c r="E79" s="11" t="s">
        <v>366</v>
      </c>
      <c r="F79" s="11" t="s">
        <v>926</v>
      </c>
      <c r="G79" s="17" t="s">
        <v>927</v>
      </c>
      <c r="H79" s="11" t="s">
        <v>789</v>
      </c>
    </row>
    <row r="80" customFormat="false" ht="109.5" hidden="false" customHeight="true" outlineLevel="0" collapsed="false">
      <c r="A80" s="11" t="s">
        <v>34</v>
      </c>
      <c r="B80" s="8" t="s">
        <v>367</v>
      </c>
      <c r="C80" s="11" t="s">
        <v>283</v>
      </c>
      <c r="D80" s="11" t="s">
        <v>368</v>
      </c>
      <c r="E80" s="11" t="s">
        <v>369</v>
      </c>
      <c r="F80" s="11" t="s">
        <v>928</v>
      </c>
      <c r="G80" s="17" t="s">
        <v>929</v>
      </c>
      <c r="H80" s="11" t="s">
        <v>789</v>
      </c>
    </row>
    <row r="81" customFormat="false" ht="72.75" hidden="false" customHeight="true" outlineLevel="0" collapsed="false">
      <c r="A81" s="11" t="s">
        <v>34</v>
      </c>
      <c r="B81" s="8" t="s">
        <v>370</v>
      </c>
      <c r="C81" s="11" t="s">
        <v>371</v>
      </c>
      <c r="D81" s="11" t="s">
        <v>183</v>
      </c>
      <c r="E81" s="11" t="s">
        <v>233</v>
      </c>
      <c r="F81" s="11" t="s">
        <v>930</v>
      </c>
      <c r="G81" s="17" t="s">
        <v>931</v>
      </c>
      <c r="H81" s="11" t="s">
        <v>789</v>
      </c>
    </row>
    <row r="82" customFormat="false" ht="72.75" hidden="false" customHeight="true" outlineLevel="0" collapsed="false">
      <c r="A82" s="11" t="s">
        <v>34</v>
      </c>
      <c r="B82" s="8" t="s">
        <v>372</v>
      </c>
      <c r="C82" s="11" t="s">
        <v>373</v>
      </c>
      <c r="D82" s="11" t="s">
        <v>374</v>
      </c>
      <c r="E82" s="11" t="s">
        <v>375</v>
      </c>
      <c r="F82" s="11" t="s">
        <v>932</v>
      </c>
      <c r="G82" s="17" t="s">
        <v>933</v>
      </c>
      <c r="H82" s="11" t="s">
        <v>797</v>
      </c>
    </row>
    <row r="83" customFormat="false" ht="72.75" hidden="false" customHeight="true" outlineLevel="0" collapsed="false">
      <c r="A83" s="11" t="s">
        <v>34</v>
      </c>
      <c r="B83" s="8" t="s">
        <v>376</v>
      </c>
      <c r="C83" s="11" t="s">
        <v>377</v>
      </c>
      <c r="D83" s="11" t="s">
        <v>183</v>
      </c>
      <c r="E83" s="11" t="s">
        <v>378</v>
      </c>
      <c r="F83" s="11" t="s">
        <v>934</v>
      </c>
      <c r="G83" s="17" t="s">
        <v>935</v>
      </c>
      <c r="H83" s="11" t="s">
        <v>789</v>
      </c>
    </row>
    <row r="84" customFormat="false" ht="72.75" hidden="false" customHeight="true" outlineLevel="0" collapsed="false">
      <c r="A84" s="11" t="s">
        <v>34</v>
      </c>
      <c r="B84" s="8" t="s">
        <v>379</v>
      </c>
      <c r="C84" s="11" t="s">
        <v>380</v>
      </c>
      <c r="D84" s="11" t="s">
        <v>183</v>
      </c>
      <c r="E84" s="11" t="s">
        <v>181</v>
      </c>
      <c r="F84" s="11" t="s">
        <v>936</v>
      </c>
      <c r="G84" s="17" t="s">
        <v>937</v>
      </c>
      <c r="H84" s="11" t="s">
        <v>789</v>
      </c>
    </row>
    <row r="85" customFormat="false" ht="109.5" hidden="false" customHeight="true" outlineLevel="0" collapsed="false">
      <c r="A85" s="11" t="s">
        <v>34</v>
      </c>
      <c r="B85" s="8" t="s">
        <v>381</v>
      </c>
      <c r="C85" s="11" t="s">
        <v>382</v>
      </c>
      <c r="D85" s="11" t="s">
        <v>383</v>
      </c>
      <c r="E85" s="11" t="s">
        <v>384</v>
      </c>
      <c r="F85" s="11" t="s">
        <v>938</v>
      </c>
      <c r="G85" s="17" t="s">
        <v>821</v>
      </c>
      <c r="H85" s="11" t="s">
        <v>797</v>
      </c>
    </row>
    <row r="86" customFormat="false" ht="72.75" hidden="false" customHeight="true" outlineLevel="0" collapsed="false">
      <c r="A86" s="11" t="s">
        <v>34</v>
      </c>
      <c r="B86" s="8" t="s">
        <v>385</v>
      </c>
      <c r="C86" s="11" t="s">
        <v>304</v>
      </c>
      <c r="D86" s="11" t="s">
        <v>386</v>
      </c>
      <c r="E86" s="11" t="s">
        <v>387</v>
      </c>
      <c r="F86" s="11" t="s">
        <v>939</v>
      </c>
      <c r="G86" s="17" t="s">
        <v>940</v>
      </c>
      <c r="H86" s="11" t="s">
        <v>789</v>
      </c>
    </row>
    <row r="87" customFormat="false" ht="97.5" hidden="false" customHeight="true" outlineLevel="0" collapsed="false">
      <c r="A87" s="11" t="s">
        <v>34</v>
      </c>
      <c r="B87" s="8" t="s">
        <v>388</v>
      </c>
      <c r="C87" s="11" t="s">
        <v>225</v>
      </c>
      <c r="D87" s="11" t="s">
        <v>183</v>
      </c>
      <c r="E87" s="11" t="s">
        <v>389</v>
      </c>
      <c r="F87" s="11" t="s">
        <v>941</v>
      </c>
      <c r="G87" s="17" t="s">
        <v>942</v>
      </c>
      <c r="H87" s="11" t="s">
        <v>789</v>
      </c>
    </row>
    <row r="88" customFormat="false" ht="24" hidden="false" customHeight="true" outlineLevel="0" collapsed="false">
      <c r="A88" s="11" t="s">
        <v>34</v>
      </c>
      <c r="B88" s="8" t="s">
        <v>390</v>
      </c>
      <c r="C88" s="11" t="s">
        <v>391</v>
      </c>
      <c r="D88" s="11" t="s">
        <v>183</v>
      </c>
      <c r="E88" s="11" t="s">
        <v>233</v>
      </c>
      <c r="F88" s="11" t="s">
        <v>943</v>
      </c>
      <c r="G88" s="17" t="s">
        <v>944</v>
      </c>
      <c r="H88" s="11" t="s">
        <v>797</v>
      </c>
    </row>
    <row r="89" customFormat="false" ht="109.5" hidden="false" customHeight="true" outlineLevel="0" collapsed="false">
      <c r="A89" s="11" t="s">
        <v>34</v>
      </c>
      <c r="B89" s="8" t="s">
        <v>392</v>
      </c>
      <c r="C89" s="11" t="s">
        <v>314</v>
      </c>
      <c r="D89" s="11" t="s">
        <v>393</v>
      </c>
      <c r="E89" s="11" t="s">
        <v>394</v>
      </c>
      <c r="F89" s="11" t="s">
        <v>945</v>
      </c>
      <c r="G89" s="17" t="s">
        <v>946</v>
      </c>
      <c r="H89" s="11" t="s">
        <v>789</v>
      </c>
    </row>
    <row r="90" customFormat="false" ht="84.75" hidden="false" customHeight="true" outlineLevel="0" collapsed="false">
      <c r="A90" s="11" t="s">
        <v>34</v>
      </c>
      <c r="B90" s="8" t="s">
        <v>395</v>
      </c>
      <c r="C90" s="11" t="s">
        <v>396</v>
      </c>
      <c r="D90" s="11" t="s">
        <v>397</v>
      </c>
      <c r="E90" s="11" t="s">
        <v>398</v>
      </c>
      <c r="F90" s="11" t="s">
        <v>947</v>
      </c>
      <c r="G90" s="17" t="s">
        <v>948</v>
      </c>
      <c r="H90" s="11" t="s">
        <v>781</v>
      </c>
    </row>
    <row r="91" customFormat="false" ht="24" hidden="false" customHeight="true" outlineLevel="0" collapsed="false">
      <c r="A91" s="11" t="s">
        <v>34</v>
      </c>
      <c r="B91" s="8" t="s">
        <v>399</v>
      </c>
      <c r="C91" s="11" t="s">
        <v>400</v>
      </c>
      <c r="D91" s="11" t="s">
        <v>323</v>
      </c>
      <c r="E91" s="11" t="s">
        <v>233</v>
      </c>
      <c r="F91" s="11" t="s">
        <v>949</v>
      </c>
      <c r="G91" s="17" t="s">
        <v>950</v>
      </c>
      <c r="H91" s="11" t="s">
        <v>781</v>
      </c>
    </row>
    <row r="92" customFormat="false" ht="84.75" hidden="false" customHeight="true" outlineLevel="0" collapsed="false">
      <c r="A92" s="11" t="s">
        <v>34</v>
      </c>
      <c r="B92" s="8" t="s">
        <v>401</v>
      </c>
      <c r="C92" s="11" t="s">
        <v>89</v>
      </c>
      <c r="D92" s="11" t="s">
        <v>402</v>
      </c>
      <c r="E92" s="11" t="s">
        <v>181</v>
      </c>
      <c r="F92" s="11" t="s">
        <v>951</v>
      </c>
      <c r="G92" s="17" t="s">
        <v>925</v>
      </c>
      <c r="H92" s="11" t="s">
        <v>789</v>
      </c>
    </row>
    <row r="93" customFormat="false" ht="109.5" hidden="false" customHeight="true" outlineLevel="0" collapsed="false">
      <c r="A93" s="11" t="s">
        <v>34</v>
      </c>
      <c r="B93" s="8" t="s">
        <v>403</v>
      </c>
      <c r="C93" s="11" t="s">
        <v>318</v>
      </c>
      <c r="D93" s="11" t="s">
        <v>404</v>
      </c>
      <c r="E93" s="11" t="s">
        <v>405</v>
      </c>
      <c r="F93" s="11" t="s">
        <v>952</v>
      </c>
      <c r="G93" s="17" t="s">
        <v>953</v>
      </c>
      <c r="H93" s="11" t="s">
        <v>789</v>
      </c>
    </row>
    <row r="94" customFormat="false" ht="72.75" hidden="false" customHeight="true" outlineLevel="0" collapsed="false">
      <c r="A94" s="11" t="s">
        <v>34</v>
      </c>
      <c r="B94" s="8" t="s">
        <v>406</v>
      </c>
      <c r="C94" s="11" t="s">
        <v>407</v>
      </c>
      <c r="D94" s="11" t="s">
        <v>397</v>
      </c>
      <c r="E94" s="11" t="s">
        <v>233</v>
      </c>
      <c r="F94" s="11" t="s">
        <v>954</v>
      </c>
      <c r="G94" s="17" t="s">
        <v>955</v>
      </c>
      <c r="H94" s="11" t="s">
        <v>789</v>
      </c>
    </row>
    <row r="95" customFormat="false" ht="84.75" hidden="false" customHeight="true" outlineLevel="0" collapsed="false">
      <c r="A95" s="11" t="s">
        <v>34</v>
      </c>
      <c r="B95" s="8" t="s">
        <v>408</v>
      </c>
      <c r="C95" s="11" t="s">
        <v>409</v>
      </c>
      <c r="D95" s="11" t="s">
        <v>410</v>
      </c>
      <c r="E95" s="11" t="s">
        <v>411</v>
      </c>
      <c r="F95" s="11" t="s">
        <v>956</v>
      </c>
      <c r="G95" s="17" t="s">
        <v>957</v>
      </c>
      <c r="H95" s="11" t="s">
        <v>789</v>
      </c>
    </row>
    <row r="96" customFormat="false" ht="72.75" hidden="false" customHeight="true" outlineLevel="0" collapsed="false">
      <c r="A96" s="11" t="s">
        <v>36</v>
      </c>
      <c r="B96" s="8" t="s">
        <v>263</v>
      </c>
      <c r="C96" s="11" t="s">
        <v>412</v>
      </c>
      <c r="D96" s="11" t="s">
        <v>183</v>
      </c>
      <c r="E96" s="11" t="s">
        <v>413</v>
      </c>
      <c r="F96" s="11" t="s">
        <v>958</v>
      </c>
      <c r="G96" s="17" t="s">
        <v>850</v>
      </c>
      <c r="H96" s="11" t="s">
        <v>786</v>
      </c>
    </row>
    <row r="97" customFormat="false" ht="72.75" hidden="false" customHeight="true" outlineLevel="0" collapsed="false">
      <c r="A97" s="11" t="s">
        <v>36</v>
      </c>
      <c r="B97" s="8" t="s">
        <v>414</v>
      </c>
      <c r="C97" s="11" t="s">
        <v>325</v>
      </c>
      <c r="D97" s="11" t="s">
        <v>415</v>
      </c>
      <c r="E97" s="11" t="s">
        <v>181</v>
      </c>
      <c r="F97" s="11" t="s">
        <v>959</v>
      </c>
      <c r="G97" s="17" t="s">
        <v>960</v>
      </c>
      <c r="H97" s="11" t="s">
        <v>781</v>
      </c>
    </row>
    <row r="98" customFormat="false" ht="97.5" hidden="false" customHeight="true" outlineLevel="0" collapsed="false">
      <c r="A98" s="11" t="s">
        <v>36</v>
      </c>
      <c r="B98" s="8" t="s">
        <v>416</v>
      </c>
      <c r="C98" s="11" t="s">
        <v>417</v>
      </c>
      <c r="D98" s="11" t="s">
        <v>183</v>
      </c>
      <c r="E98" s="11" t="s">
        <v>181</v>
      </c>
      <c r="F98" s="11" t="s">
        <v>961</v>
      </c>
      <c r="G98" s="17" t="s">
        <v>962</v>
      </c>
      <c r="H98" s="11" t="s">
        <v>789</v>
      </c>
    </row>
    <row r="99" customFormat="false" ht="97.5" hidden="false" customHeight="true" outlineLevel="0" collapsed="false">
      <c r="A99" s="11" t="s">
        <v>36</v>
      </c>
      <c r="B99" s="8" t="s">
        <v>418</v>
      </c>
      <c r="C99" s="11" t="s">
        <v>269</v>
      </c>
      <c r="D99" s="11" t="s">
        <v>183</v>
      </c>
      <c r="E99" s="11" t="s">
        <v>181</v>
      </c>
      <c r="F99" s="11" t="s">
        <v>963</v>
      </c>
      <c r="G99" s="17" t="s">
        <v>964</v>
      </c>
      <c r="H99" s="11" t="s">
        <v>789</v>
      </c>
    </row>
    <row r="100" customFormat="false" ht="109.5" hidden="false" customHeight="true" outlineLevel="0" collapsed="false">
      <c r="A100" s="11" t="s">
        <v>36</v>
      </c>
      <c r="B100" s="8" t="s">
        <v>419</v>
      </c>
      <c r="C100" s="11" t="s">
        <v>420</v>
      </c>
      <c r="D100" s="11" t="s">
        <v>183</v>
      </c>
      <c r="E100" s="11" t="s">
        <v>181</v>
      </c>
      <c r="F100" s="11" t="s">
        <v>965</v>
      </c>
      <c r="G100" s="17" t="s">
        <v>966</v>
      </c>
      <c r="H100" s="11" t="s">
        <v>797</v>
      </c>
    </row>
    <row r="101" customFormat="false" ht="72.75" hidden="false" customHeight="true" outlineLevel="0" collapsed="false">
      <c r="A101" s="11" t="s">
        <v>36</v>
      </c>
      <c r="B101" s="8" t="s">
        <v>421</v>
      </c>
      <c r="C101" s="11" t="s">
        <v>422</v>
      </c>
      <c r="D101" s="11" t="s">
        <v>183</v>
      </c>
      <c r="E101" s="11" t="s">
        <v>181</v>
      </c>
      <c r="F101" s="11" t="s">
        <v>967</v>
      </c>
      <c r="G101" s="17" t="s">
        <v>968</v>
      </c>
      <c r="H101" s="11" t="s">
        <v>797</v>
      </c>
    </row>
    <row r="102" customFormat="false" ht="84.75" hidden="false" customHeight="true" outlineLevel="0" collapsed="false">
      <c r="A102" s="11" t="s">
        <v>36</v>
      </c>
      <c r="B102" s="8" t="s">
        <v>423</v>
      </c>
      <c r="C102" s="11" t="s">
        <v>86</v>
      </c>
      <c r="D102" s="11" t="s">
        <v>183</v>
      </c>
      <c r="E102" s="11" t="s">
        <v>181</v>
      </c>
      <c r="F102" s="11" t="s">
        <v>969</v>
      </c>
      <c r="G102" s="17" t="s">
        <v>864</v>
      </c>
      <c r="H102" s="11" t="s">
        <v>789</v>
      </c>
    </row>
    <row r="103" customFormat="false" ht="72.75" hidden="false" customHeight="true" outlineLevel="0" collapsed="false">
      <c r="A103" s="11" t="s">
        <v>36</v>
      </c>
      <c r="B103" s="8" t="s">
        <v>424</v>
      </c>
      <c r="C103" s="11" t="s">
        <v>425</v>
      </c>
      <c r="D103" s="11" t="s">
        <v>183</v>
      </c>
      <c r="E103" s="11" t="s">
        <v>181</v>
      </c>
      <c r="F103" s="11" t="s">
        <v>970</v>
      </c>
      <c r="G103" s="17" t="s">
        <v>971</v>
      </c>
      <c r="H103" s="11" t="s">
        <v>797</v>
      </c>
    </row>
    <row r="104" customFormat="false" ht="72.75" hidden="false" customHeight="true" outlineLevel="0" collapsed="false">
      <c r="A104" s="11" t="s">
        <v>36</v>
      </c>
      <c r="B104" s="8" t="s">
        <v>277</v>
      </c>
      <c r="C104" s="11" t="s">
        <v>426</v>
      </c>
      <c r="D104" s="11" t="s">
        <v>183</v>
      </c>
      <c r="E104" s="11" t="s">
        <v>279</v>
      </c>
      <c r="F104" s="11" t="s">
        <v>972</v>
      </c>
      <c r="G104" s="17" t="s">
        <v>973</v>
      </c>
      <c r="H104" s="11" t="s">
        <v>789</v>
      </c>
    </row>
    <row r="105" customFormat="false" ht="97.5" hidden="false" customHeight="true" outlineLevel="0" collapsed="false">
      <c r="A105" s="11" t="s">
        <v>36</v>
      </c>
      <c r="B105" s="8" t="s">
        <v>427</v>
      </c>
      <c r="C105" s="11" t="s">
        <v>202</v>
      </c>
      <c r="D105" s="11" t="s">
        <v>428</v>
      </c>
      <c r="E105" s="11" t="s">
        <v>233</v>
      </c>
      <c r="F105" s="11" t="s">
        <v>974</v>
      </c>
      <c r="G105" s="17" t="s">
        <v>975</v>
      </c>
      <c r="H105" s="11" t="s">
        <v>789</v>
      </c>
    </row>
    <row r="106" customFormat="false" ht="109.5" hidden="false" customHeight="true" outlineLevel="0" collapsed="false">
      <c r="A106" s="11" t="s">
        <v>36</v>
      </c>
      <c r="B106" s="8" t="s">
        <v>429</v>
      </c>
      <c r="C106" s="11" t="s">
        <v>430</v>
      </c>
      <c r="D106" s="11" t="s">
        <v>183</v>
      </c>
      <c r="E106" s="11" t="s">
        <v>181</v>
      </c>
      <c r="F106" s="11" t="s">
        <v>976</v>
      </c>
      <c r="G106" s="17" t="s">
        <v>977</v>
      </c>
      <c r="H106" s="11" t="s">
        <v>786</v>
      </c>
    </row>
    <row r="107" customFormat="false" ht="72.75" hidden="false" customHeight="true" outlineLevel="0" collapsed="false">
      <c r="A107" s="11" t="s">
        <v>36</v>
      </c>
      <c r="B107" s="8" t="s">
        <v>431</v>
      </c>
      <c r="C107" s="11" t="s">
        <v>432</v>
      </c>
      <c r="D107" s="11" t="s">
        <v>183</v>
      </c>
      <c r="E107" s="11" t="s">
        <v>181</v>
      </c>
      <c r="F107" s="11" t="s">
        <v>978</v>
      </c>
      <c r="G107" s="17" t="s">
        <v>979</v>
      </c>
      <c r="H107" s="11" t="s">
        <v>797</v>
      </c>
    </row>
    <row r="108" customFormat="false" ht="84.75" hidden="false" customHeight="true" outlineLevel="0" collapsed="false">
      <c r="A108" s="11" t="s">
        <v>36</v>
      </c>
      <c r="B108" s="8" t="s">
        <v>433</v>
      </c>
      <c r="C108" s="11" t="s">
        <v>286</v>
      </c>
      <c r="D108" s="11" t="s">
        <v>183</v>
      </c>
      <c r="E108" s="11" t="s">
        <v>181</v>
      </c>
      <c r="F108" s="11" t="s">
        <v>980</v>
      </c>
      <c r="G108" s="17" t="s">
        <v>981</v>
      </c>
      <c r="H108" s="11" t="s">
        <v>789</v>
      </c>
    </row>
    <row r="109" customFormat="false" ht="72.75" hidden="false" customHeight="true" outlineLevel="0" collapsed="false">
      <c r="A109" s="11" t="s">
        <v>36</v>
      </c>
      <c r="B109" s="8" t="s">
        <v>434</v>
      </c>
      <c r="C109" s="11" t="s">
        <v>377</v>
      </c>
      <c r="D109" s="11" t="s">
        <v>183</v>
      </c>
      <c r="E109" s="11" t="s">
        <v>181</v>
      </c>
      <c r="F109" s="11" t="s">
        <v>982</v>
      </c>
      <c r="G109" s="17" t="s">
        <v>935</v>
      </c>
      <c r="H109" s="11" t="s">
        <v>781</v>
      </c>
    </row>
    <row r="110" customFormat="false" ht="97.5" hidden="false" customHeight="true" outlineLevel="0" collapsed="false">
      <c r="A110" s="11" t="s">
        <v>36</v>
      </c>
      <c r="B110" s="8" t="s">
        <v>435</v>
      </c>
      <c r="C110" s="11" t="s">
        <v>291</v>
      </c>
      <c r="D110" s="11" t="s">
        <v>183</v>
      </c>
      <c r="E110" s="11" t="s">
        <v>436</v>
      </c>
      <c r="F110" s="11" t="s">
        <v>983</v>
      </c>
      <c r="G110" s="17" t="s">
        <v>984</v>
      </c>
      <c r="H110" s="11" t="s">
        <v>794</v>
      </c>
    </row>
    <row r="111" customFormat="false" ht="97.5" hidden="false" customHeight="true" outlineLevel="0" collapsed="false">
      <c r="A111" s="11" t="s">
        <v>36</v>
      </c>
      <c r="B111" s="8" t="s">
        <v>437</v>
      </c>
      <c r="C111" s="11" t="s">
        <v>438</v>
      </c>
      <c r="D111" s="11" t="s">
        <v>183</v>
      </c>
      <c r="E111" s="11" t="s">
        <v>181</v>
      </c>
      <c r="F111" s="11" t="s">
        <v>985</v>
      </c>
      <c r="G111" s="17" t="s">
        <v>986</v>
      </c>
      <c r="H111" s="11" t="s">
        <v>789</v>
      </c>
    </row>
    <row r="112" customFormat="false" ht="84.75" hidden="false" customHeight="true" outlineLevel="0" collapsed="false">
      <c r="A112" s="11" t="s">
        <v>36</v>
      </c>
      <c r="B112" s="8" t="s">
        <v>439</v>
      </c>
      <c r="C112" s="11" t="s">
        <v>440</v>
      </c>
      <c r="D112" s="11" t="s">
        <v>183</v>
      </c>
      <c r="E112" s="11" t="s">
        <v>181</v>
      </c>
      <c r="F112" s="11" t="s">
        <v>987</v>
      </c>
      <c r="G112" s="17" t="s">
        <v>988</v>
      </c>
      <c r="H112" s="11" t="s">
        <v>789</v>
      </c>
    </row>
    <row r="113" customFormat="false" ht="84.75" hidden="false" customHeight="true" outlineLevel="0" collapsed="false">
      <c r="A113" s="11" t="s">
        <v>36</v>
      </c>
      <c r="B113" s="8" t="s">
        <v>441</v>
      </c>
      <c r="C113" s="11" t="s">
        <v>441</v>
      </c>
      <c r="D113" s="11" t="s">
        <v>183</v>
      </c>
      <c r="E113" s="11" t="s">
        <v>181</v>
      </c>
      <c r="F113" s="11" t="s">
        <v>989</v>
      </c>
      <c r="G113" s="17" t="s">
        <v>990</v>
      </c>
      <c r="H113" s="11" t="s">
        <v>781</v>
      </c>
    </row>
    <row r="114" customFormat="false" ht="72.75" hidden="false" customHeight="true" outlineLevel="0" collapsed="false">
      <c r="A114" s="11" t="s">
        <v>36</v>
      </c>
      <c r="B114" s="8" t="s">
        <v>442</v>
      </c>
      <c r="C114" s="11" t="s">
        <v>443</v>
      </c>
      <c r="D114" s="11" t="s">
        <v>183</v>
      </c>
      <c r="E114" s="11" t="s">
        <v>181</v>
      </c>
      <c r="F114" s="11" t="s">
        <v>991</v>
      </c>
      <c r="G114" s="17" t="s">
        <v>992</v>
      </c>
      <c r="H114" s="11" t="s">
        <v>786</v>
      </c>
    </row>
    <row r="115" customFormat="false" ht="84.75" hidden="false" customHeight="true" outlineLevel="0" collapsed="false">
      <c r="A115" s="11" t="s">
        <v>36</v>
      </c>
      <c r="B115" s="8" t="s">
        <v>444</v>
      </c>
      <c r="C115" s="11" t="s">
        <v>445</v>
      </c>
      <c r="D115" s="11" t="s">
        <v>446</v>
      </c>
      <c r="E115" s="11" t="s">
        <v>233</v>
      </c>
      <c r="F115" s="11" t="s">
        <v>993</v>
      </c>
      <c r="G115" s="17" t="s">
        <v>994</v>
      </c>
      <c r="H115" s="11" t="s">
        <v>786</v>
      </c>
    </row>
    <row r="116" customFormat="false" ht="72.75" hidden="false" customHeight="true" outlineLevel="0" collapsed="false">
      <c r="A116" s="11" t="s">
        <v>36</v>
      </c>
      <c r="B116" s="8" t="s">
        <v>447</v>
      </c>
      <c r="C116" s="11" t="s">
        <v>448</v>
      </c>
      <c r="D116" s="11" t="s">
        <v>449</v>
      </c>
      <c r="E116" s="11" t="s">
        <v>181</v>
      </c>
      <c r="F116" s="11" t="s">
        <v>995</v>
      </c>
      <c r="G116" s="17" t="s">
        <v>996</v>
      </c>
      <c r="H116" s="11" t="s">
        <v>797</v>
      </c>
    </row>
    <row r="117" customFormat="false" ht="72.75" hidden="false" customHeight="true" outlineLevel="0" collapsed="false">
      <c r="A117" s="11" t="s">
        <v>36</v>
      </c>
      <c r="B117" s="8" t="s">
        <v>450</v>
      </c>
      <c r="C117" s="11" t="s">
        <v>451</v>
      </c>
      <c r="D117" s="11" t="s">
        <v>183</v>
      </c>
      <c r="E117" s="11" t="s">
        <v>181</v>
      </c>
      <c r="F117" s="11" t="s">
        <v>997</v>
      </c>
      <c r="G117" s="17" t="s">
        <v>998</v>
      </c>
      <c r="H117" s="11" t="s">
        <v>786</v>
      </c>
    </row>
    <row r="118" customFormat="false" ht="72.75" hidden="false" customHeight="true" outlineLevel="0" collapsed="false">
      <c r="A118" s="11" t="s">
        <v>36</v>
      </c>
      <c r="B118" s="8" t="s">
        <v>452</v>
      </c>
      <c r="C118" s="11" t="s">
        <v>453</v>
      </c>
      <c r="D118" s="11" t="s">
        <v>183</v>
      </c>
      <c r="E118" s="11" t="s">
        <v>279</v>
      </c>
      <c r="F118" s="11" t="s">
        <v>999</v>
      </c>
      <c r="G118" s="17" t="s">
        <v>1000</v>
      </c>
      <c r="H118" s="11" t="s">
        <v>781</v>
      </c>
    </row>
    <row r="119" customFormat="false" ht="72.75" hidden="false" customHeight="true" outlineLevel="0" collapsed="false">
      <c r="A119" s="11" t="s">
        <v>36</v>
      </c>
      <c r="B119" s="8" t="s">
        <v>454</v>
      </c>
      <c r="C119" s="11" t="s">
        <v>455</v>
      </c>
      <c r="D119" s="11" t="s">
        <v>456</v>
      </c>
      <c r="E119" s="11" t="s">
        <v>279</v>
      </c>
      <c r="F119" s="11" t="s">
        <v>1001</v>
      </c>
      <c r="G119" s="17" t="s">
        <v>1002</v>
      </c>
      <c r="H119" s="11" t="s">
        <v>786</v>
      </c>
    </row>
    <row r="120" customFormat="false" ht="109.5" hidden="false" customHeight="true" outlineLevel="0" collapsed="false">
      <c r="A120" s="11" t="s">
        <v>36</v>
      </c>
      <c r="B120" s="8" t="s">
        <v>457</v>
      </c>
      <c r="C120" s="11" t="s">
        <v>225</v>
      </c>
      <c r="D120" s="11" t="s">
        <v>458</v>
      </c>
      <c r="E120" s="11" t="s">
        <v>181</v>
      </c>
      <c r="F120" s="11" t="s">
        <v>1003</v>
      </c>
      <c r="G120" s="17" t="s">
        <v>1004</v>
      </c>
      <c r="H120" s="11" t="s">
        <v>789</v>
      </c>
    </row>
    <row r="121" customFormat="false" ht="109.5" hidden="false" customHeight="true" outlineLevel="0" collapsed="false">
      <c r="A121" s="11" t="s">
        <v>36</v>
      </c>
      <c r="B121" s="8" t="s">
        <v>459</v>
      </c>
      <c r="C121" s="11" t="s">
        <v>311</v>
      </c>
      <c r="D121" s="11" t="s">
        <v>183</v>
      </c>
      <c r="E121" s="11" t="s">
        <v>181</v>
      </c>
      <c r="F121" s="11" t="s">
        <v>1005</v>
      </c>
      <c r="G121" s="17" t="s">
        <v>1006</v>
      </c>
      <c r="H121" s="11" t="s">
        <v>789</v>
      </c>
    </row>
    <row r="122" customFormat="false" ht="97.5" hidden="false" customHeight="true" outlineLevel="0" collapsed="false">
      <c r="A122" s="11" t="s">
        <v>36</v>
      </c>
      <c r="B122" s="8" t="s">
        <v>460</v>
      </c>
      <c r="C122" s="11" t="s">
        <v>314</v>
      </c>
      <c r="D122" s="11" t="s">
        <v>183</v>
      </c>
      <c r="E122" s="11" t="s">
        <v>181</v>
      </c>
      <c r="F122" s="11" t="s">
        <v>1007</v>
      </c>
      <c r="G122" s="17" t="s">
        <v>1008</v>
      </c>
      <c r="H122" s="11" t="s">
        <v>789</v>
      </c>
    </row>
    <row r="123" customFormat="false" ht="72.75" hidden="false" customHeight="true" outlineLevel="0" collapsed="false">
      <c r="A123" s="11" t="s">
        <v>36</v>
      </c>
      <c r="B123" s="8" t="s">
        <v>461</v>
      </c>
      <c r="C123" s="11" t="s">
        <v>228</v>
      </c>
      <c r="D123" s="11" t="s">
        <v>183</v>
      </c>
      <c r="E123" s="11" t="s">
        <v>181</v>
      </c>
      <c r="F123" s="11" t="s">
        <v>1009</v>
      </c>
      <c r="G123" s="17" t="s">
        <v>1010</v>
      </c>
      <c r="H123" s="11" t="s">
        <v>786</v>
      </c>
    </row>
    <row r="124" customFormat="false" ht="72.75" hidden="false" customHeight="true" outlineLevel="0" collapsed="false">
      <c r="A124" s="11" t="s">
        <v>36</v>
      </c>
      <c r="B124" s="8" t="s">
        <v>462</v>
      </c>
      <c r="C124" s="11" t="s">
        <v>463</v>
      </c>
      <c r="D124" s="11" t="s">
        <v>323</v>
      </c>
      <c r="E124" s="11" t="s">
        <v>464</v>
      </c>
      <c r="F124" s="11" t="s">
        <v>1011</v>
      </c>
      <c r="G124" s="17" t="s">
        <v>1012</v>
      </c>
      <c r="H124" s="11" t="s">
        <v>794</v>
      </c>
    </row>
    <row r="125" customFormat="false" ht="24" hidden="false" customHeight="true" outlineLevel="0" collapsed="false">
      <c r="A125" s="11" t="s">
        <v>36</v>
      </c>
      <c r="B125" s="8" t="s">
        <v>465</v>
      </c>
      <c r="C125" s="11" t="s">
        <v>466</v>
      </c>
      <c r="D125" s="11" t="s">
        <v>467</v>
      </c>
      <c r="E125" s="11" t="s">
        <v>233</v>
      </c>
      <c r="F125" s="11" t="s">
        <v>233</v>
      </c>
      <c r="G125" s="17" t="s">
        <v>1013</v>
      </c>
      <c r="H125" s="11" t="s">
        <v>789</v>
      </c>
    </row>
    <row r="126" customFormat="false" ht="72.75" hidden="false" customHeight="true" outlineLevel="0" collapsed="false">
      <c r="A126" s="11" t="s">
        <v>36</v>
      </c>
      <c r="B126" s="8" t="s">
        <v>468</v>
      </c>
      <c r="C126" s="11" t="s">
        <v>469</v>
      </c>
      <c r="D126" s="11" t="s">
        <v>470</v>
      </c>
      <c r="E126" s="11" t="s">
        <v>233</v>
      </c>
      <c r="F126" s="11" t="s">
        <v>1014</v>
      </c>
      <c r="G126" s="17" t="s">
        <v>1015</v>
      </c>
      <c r="H126" s="11" t="s">
        <v>781</v>
      </c>
    </row>
    <row r="127" customFormat="false" ht="121.5" hidden="false" customHeight="true" outlineLevel="0" collapsed="false">
      <c r="A127" s="11" t="s">
        <v>36</v>
      </c>
      <c r="B127" s="8" t="s">
        <v>471</v>
      </c>
      <c r="C127" s="11" t="s">
        <v>318</v>
      </c>
      <c r="D127" s="11" t="s">
        <v>472</v>
      </c>
      <c r="E127" s="11" t="s">
        <v>233</v>
      </c>
      <c r="F127" s="11" t="s">
        <v>1016</v>
      </c>
      <c r="G127" s="17" t="s">
        <v>1017</v>
      </c>
      <c r="H127" s="11" t="s">
        <v>789</v>
      </c>
    </row>
    <row r="128" customFormat="false" ht="72.75" hidden="false" customHeight="true" outlineLevel="0" collapsed="false">
      <c r="A128" s="11" t="s">
        <v>36</v>
      </c>
      <c r="B128" s="8" t="s">
        <v>473</v>
      </c>
      <c r="C128" s="11" t="s">
        <v>474</v>
      </c>
      <c r="D128" s="11" t="s">
        <v>470</v>
      </c>
      <c r="E128" s="11" t="s">
        <v>233</v>
      </c>
      <c r="F128" s="11" t="s">
        <v>1018</v>
      </c>
      <c r="G128" s="17" t="s">
        <v>1019</v>
      </c>
      <c r="H128" s="11" t="s">
        <v>789</v>
      </c>
    </row>
    <row r="129" customFormat="false" ht="72.75" hidden="false" customHeight="true" outlineLevel="0" collapsed="false">
      <c r="A129" s="11" t="s">
        <v>36</v>
      </c>
      <c r="B129" s="8" t="s">
        <v>475</v>
      </c>
      <c r="C129" s="11" t="s">
        <v>328</v>
      </c>
      <c r="D129" s="11" t="s">
        <v>476</v>
      </c>
      <c r="E129" s="11" t="s">
        <v>477</v>
      </c>
      <c r="F129" s="11" t="s">
        <v>1020</v>
      </c>
      <c r="G129" s="17" t="s">
        <v>1021</v>
      </c>
      <c r="H129" s="11" t="s">
        <v>794</v>
      </c>
    </row>
    <row r="130" customFormat="false" ht="72.75" hidden="false" customHeight="true" outlineLevel="0" collapsed="false">
      <c r="A130" s="11" t="s">
        <v>36</v>
      </c>
      <c r="B130" s="8" t="s">
        <v>478</v>
      </c>
      <c r="C130" s="11" t="s">
        <v>479</v>
      </c>
      <c r="D130" s="11" t="s">
        <v>397</v>
      </c>
      <c r="E130" s="11" t="s">
        <v>233</v>
      </c>
      <c r="F130" s="11" t="s">
        <v>1022</v>
      </c>
      <c r="G130" s="17" t="s">
        <v>1023</v>
      </c>
      <c r="H130" s="11" t="s">
        <v>789</v>
      </c>
    </row>
    <row r="131" customFormat="false" ht="72.75" hidden="false" customHeight="true" outlineLevel="0" collapsed="false">
      <c r="A131" s="11" t="s">
        <v>36</v>
      </c>
      <c r="B131" s="8" t="s">
        <v>480</v>
      </c>
      <c r="C131" s="11" t="s">
        <v>481</v>
      </c>
      <c r="D131" s="11" t="s">
        <v>323</v>
      </c>
      <c r="E131" s="11" t="s">
        <v>181</v>
      </c>
      <c r="F131" s="11" t="s">
        <v>1024</v>
      </c>
      <c r="G131" s="17" t="s">
        <v>1025</v>
      </c>
      <c r="H131" s="11" t="s">
        <v>786</v>
      </c>
    </row>
    <row r="132" customFormat="false" ht="121.5" hidden="false" customHeight="true" outlineLevel="0" collapsed="false">
      <c r="A132" s="11" t="s">
        <v>36</v>
      </c>
      <c r="B132" s="8" t="s">
        <v>482</v>
      </c>
      <c r="C132" s="11" t="s">
        <v>483</v>
      </c>
      <c r="D132" s="11" t="s">
        <v>467</v>
      </c>
      <c r="E132" s="11" t="s">
        <v>181</v>
      </c>
      <c r="F132" s="11" t="s">
        <v>1026</v>
      </c>
      <c r="G132" s="17" t="s">
        <v>1027</v>
      </c>
      <c r="H132" s="11" t="s">
        <v>789</v>
      </c>
    </row>
    <row r="133" customFormat="false" ht="72.75" hidden="false" customHeight="true" outlineLevel="0" collapsed="false">
      <c r="A133" s="11" t="s">
        <v>36</v>
      </c>
      <c r="B133" s="8" t="s">
        <v>332</v>
      </c>
      <c r="C133" s="11" t="s">
        <v>484</v>
      </c>
      <c r="D133" s="11" t="s">
        <v>467</v>
      </c>
      <c r="E133" s="11" t="s">
        <v>233</v>
      </c>
      <c r="F133" s="11" t="s">
        <v>1028</v>
      </c>
      <c r="G133" s="17" t="s">
        <v>1029</v>
      </c>
      <c r="H133" s="11" t="s">
        <v>789</v>
      </c>
    </row>
    <row r="134" customFormat="false" ht="15" hidden="false" customHeight="true" outlineLevel="0" collapsed="false">
      <c r="A134" s="11" t="s">
        <v>36</v>
      </c>
      <c r="B134" s="8" t="s">
        <v>485</v>
      </c>
      <c r="C134" s="11" t="s">
        <v>486</v>
      </c>
      <c r="D134" s="11" t="s">
        <v>467</v>
      </c>
      <c r="E134" s="11" t="s">
        <v>233</v>
      </c>
      <c r="F134" s="11" t="s">
        <v>233</v>
      </c>
      <c r="G134" s="17" t="s">
        <v>1030</v>
      </c>
      <c r="H134" s="11" t="s">
        <v>786</v>
      </c>
    </row>
    <row r="135" customFormat="false" ht="72.75" hidden="false" customHeight="true" outlineLevel="0" collapsed="false">
      <c r="A135" s="11" t="s">
        <v>36</v>
      </c>
      <c r="B135" s="8" t="s">
        <v>487</v>
      </c>
      <c r="C135" s="11" t="s">
        <v>488</v>
      </c>
      <c r="D135" s="11" t="s">
        <v>467</v>
      </c>
      <c r="E135" s="11" t="s">
        <v>489</v>
      </c>
      <c r="F135" s="11" t="s">
        <v>1031</v>
      </c>
      <c r="G135" s="17" t="s">
        <v>1032</v>
      </c>
      <c r="H135" s="11" t="s">
        <v>789</v>
      </c>
    </row>
    <row r="136" customFormat="false" ht="84.75" hidden="false" customHeight="true" outlineLevel="0" collapsed="false">
      <c r="A136" s="11" t="s">
        <v>36</v>
      </c>
      <c r="B136" s="8" t="s">
        <v>490</v>
      </c>
      <c r="C136" s="11" t="s">
        <v>325</v>
      </c>
      <c r="D136" s="11" t="s">
        <v>467</v>
      </c>
      <c r="E136" s="11" t="s">
        <v>491</v>
      </c>
      <c r="F136" s="11" t="s">
        <v>1033</v>
      </c>
      <c r="G136" s="17" t="s">
        <v>960</v>
      </c>
      <c r="H136" s="11" t="s">
        <v>781</v>
      </c>
    </row>
    <row r="137" customFormat="false" ht="72.75" hidden="false" customHeight="true" outlineLevel="0" collapsed="false">
      <c r="A137" s="11" t="s">
        <v>36</v>
      </c>
      <c r="B137" s="8" t="s">
        <v>492</v>
      </c>
      <c r="C137" s="11" t="s">
        <v>338</v>
      </c>
      <c r="D137" s="11" t="s">
        <v>493</v>
      </c>
      <c r="E137" s="11" t="s">
        <v>233</v>
      </c>
      <c r="F137" s="11" t="s">
        <v>1034</v>
      </c>
      <c r="G137" s="17" t="s">
        <v>1035</v>
      </c>
      <c r="H137" s="11" t="s">
        <v>789</v>
      </c>
    </row>
    <row r="138" customFormat="false" ht="84.75" hidden="false" customHeight="true" outlineLevel="0" collapsed="false">
      <c r="A138" s="11" t="s">
        <v>38</v>
      </c>
      <c r="B138" s="8" t="s">
        <v>494</v>
      </c>
      <c r="C138" s="11" t="s">
        <v>495</v>
      </c>
      <c r="D138" s="11" t="s">
        <v>496</v>
      </c>
      <c r="E138" s="11" t="s">
        <v>497</v>
      </c>
      <c r="F138" s="11" t="s">
        <v>1036</v>
      </c>
      <c r="G138" s="17" t="s">
        <v>1037</v>
      </c>
      <c r="H138" s="11" t="s">
        <v>789</v>
      </c>
    </row>
    <row r="139" customFormat="false" ht="84.75" hidden="false" customHeight="true" outlineLevel="0" collapsed="false">
      <c r="A139" s="11" t="s">
        <v>38</v>
      </c>
      <c r="B139" s="8" t="s">
        <v>498</v>
      </c>
      <c r="C139" s="11" t="s">
        <v>499</v>
      </c>
      <c r="D139" s="11" t="s">
        <v>183</v>
      </c>
      <c r="E139" s="11" t="s">
        <v>500</v>
      </c>
      <c r="F139" s="11" t="s">
        <v>1038</v>
      </c>
      <c r="G139" s="17" t="s">
        <v>1039</v>
      </c>
      <c r="H139" s="11" t="s">
        <v>786</v>
      </c>
    </row>
    <row r="140" customFormat="false" ht="133.5" hidden="false" customHeight="true" outlineLevel="0" collapsed="false">
      <c r="A140" s="11" t="s">
        <v>38</v>
      </c>
      <c r="B140" s="8" t="s">
        <v>501</v>
      </c>
      <c r="C140" s="11" t="s">
        <v>502</v>
      </c>
      <c r="D140" s="11" t="s">
        <v>183</v>
      </c>
      <c r="E140" s="11" t="s">
        <v>503</v>
      </c>
      <c r="F140" s="11" t="s">
        <v>1040</v>
      </c>
      <c r="G140" s="17" t="s">
        <v>1041</v>
      </c>
      <c r="H140" s="11" t="s">
        <v>789</v>
      </c>
    </row>
    <row r="141" customFormat="false" ht="84.75" hidden="false" customHeight="true" outlineLevel="0" collapsed="false">
      <c r="A141" s="11" t="s">
        <v>38</v>
      </c>
      <c r="B141" s="8" t="s">
        <v>504</v>
      </c>
      <c r="C141" s="11" t="s">
        <v>505</v>
      </c>
      <c r="D141" s="11" t="s">
        <v>183</v>
      </c>
      <c r="E141" s="11" t="s">
        <v>506</v>
      </c>
      <c r="F141" s="11" t="s">
        <v>1042</v>
      </c>
      <c r="G141" s="17" t="s">
        <v>1043</v>
      </c>
      <c r="H141" s="11" t="s">
        <v>789</v>
      </c>
    </row>
    <row r="142" customFormat="false" ht="121.5" hidden="false" customHeight="true" outlineLevel="0" collapsed="false">
      <c r="A142" s="11" t="s">
        <v>38</v>
      </c>
      <c r="B142" s="8" t="s">
        <v>507</v>
      </c>
      <c r="C142" s="11" t="s">
        <v>508</v>
      </c>
      <c r="D142" s="11" t="s">
        <v>212</v>
      </c>
      <c r="E142" s="11" t="s">
        <v>509</v>
      </c>
      <c r="F142" s="11" t="s">
        <v>1044</v>
      </c>
      <c r="G142" s="17" t="s">
        <v>1045</v>
      </c>
      <c r="H142" s="11" t="s">
        <v>789</v>
      </c>
    </row>
    <row r="143" customFormat="false" ht="109.5" hidden="false" customHeight="true" outlineLevel="0" collapsed="false">
      <c r="A143" s="11" t="s">
        <v>38</v>
      </c>
      <c r="B143" s="8" t="s">
        <v>510</v>
      </c>
      <c r="C143" s="11" t="s">
        <v>511</v>
      </c>
      <c r="D143" s="11" t="s">
        <v>512</v>
      </c>
      <c r="E143" s="11" t="s">
        <v>513</v>
      </c>
      <c r="F143" s="11" t="s">
        <v>1046</v>
      </c>
      <c r="G143" s="17" t="s">
        <v>1047</v>
      </c>
      <c r="H143" s="11" t="s">
        <v>789</v>
      </c>
    </row>
    <row r="144" customFormat="false" ht="97.5" hidden="false" customHeight="true" outlineLevel="0" collapsed="false">
      <c r="A144" s="11" t="s">
        <v>38</v>
      </c>
      <c r="B144" s="8" t="s">
        <v>514</v>
      </c>
      <c r="C144" s="11" t="s">
        <v>515</v>
      </c>
      <c r="D144" s="11" t="s">
        <v>516</v>
      </c>
      <c r="E144" s="11" t="s">
        <v>517</v>
      </c>
      <c r="F144" s="11" t="s">
        <v>1048</v>
      </c>
      <c r="G144" s="17" t="s">
        <v>1049</v>
      </c>
      <c r="H144" s="11" t="s">
        <v>786</v>
      </c>
    </row>
    <row r="145" customFormat="false" ht="48.75" hidden="false" customHeight="true" outlineLevel="0" collapsed="false">
      <c r="A145" s="11" t="s">
        <v>38</v>
      </c>
      <c r="B145" s="8" t="s">
        <v>518</v>
      </c>
      <c r="C145" s="11" t="s">
        <v>519</v>
      </c>
      <c r="D145" s="11" t="s">
        <v>516</v>
      </c>
      <c r="E145" s="11" t="s">
        <v>233</v>
      </c>
      <c r="F145" s="11" t="s">
        <v>1050</v>
      </c>
      <c r="G145" s="17" t="s">
        <v>1045</v>
      </c>
      <c r="H145" s="11" t="s">
        <v>789</v>
      </c>
    </row>
    <row r="146" customFormat="false" ht="24" hidden="false" customHeight="true" outlineLevel="0" collapsed="false">
      <c r="A146" s="11" t="s">
        <v>38</v>
      </c>
      <c r="B146" s="8" t="s">
        <v>520</v>
      </c>
      <c r="C146" s="11" t="s">
        <v>521</v>
      </c>
      <c r="D146" s="11" t="s">
        <v>516</v>
      </c>
      <c r="E146" s="11" t="s">
        <v>233</v>
      </c>
      <c r="F146" s="11" t="s">
        <v>1050</v>
      </c>
      <c r="G146" s="17" t="s">
        <v>1051</v>
      </c>
      <c r="H146" s="11" t="s">
        <v>1052</v>
      </c>
    </row>
    <row r="147" customFormat="false" ht="60.75" hidden="false" customHeight="true" outlineLevel="0" collapsed="false">
      <c r="A147" s="11" t="s">
        <v>38</v>
      </c>
      <c r="B147" s="8" t="s">
        <v>522</v>
      </c>
      <c r="C147" s="11" t="s">
        <v>479</v>
      </c>
      <c r="D147" s="11" t="s">
        <v>516</v>
      </c>
      <c r="E147" s="11" t="s">
        <v>523</v>
      </c>
      <c r="F147" s="11" t="s">
        <v>1053</v>
      </c>
      <c r="G147" s="17" t="s">
        <v>1051</v>
      </c>
      <c r="H147" s="11" t="s">
        <v>786</v>
      </c>
    </row>
    <row r="148" customFormat="false" ht="24" hidden="false" customHeight="true" outlineLevel="0" collapsed="false">
      <c r="A148" s="11" t="s">
        <v>38</v>
      </c>
      <c r="B148" s="8" t="s">
        <v>524</v>
      </c>
      <c r="C148" s="11" t="s">
        <v>479</v>
      </c>
      <c r="D148" s="11" t="s">
        <v>525</v>
      </c>
      <c r="E148" s="11" t="s">
        <v>233</v>
      </c>
      <c r="F148" s="11" t="s">
        <v>1054</v>
      </c>
      <c r="G148" s="17" t="s">
        <v>1055</v>
      </c>
      <c r="H148" s="11" t="s">
        <v>789</v>
      </c>
    </row>
    <row r="149" customFormat="false" ht="24" hidden="false" customHeight="true" outlineLevel="0" collapsed="false">
      <c r="A149" s="11" t="s">
        <v>38</v>
      </c>
      <c r="B149" s="8" t="s">
        <v>526</v>
      </c>
      <c r="C149" s="11" t="s">
        <v>527</v>
      </c>
      <c r="D149" s="11" t="s">
        <v>516</v>
      </c>
      <c r="E149" s="11" t="s">
        <v>233</v>
      </c>
      <c r="F149" s="11" t="s">
        <v>1050</v>
      </c>
      <c r="G149" s="17" t="s">
        <v>1056</v>
      </c>
      <c r="H149" s="11" t="s">
        <v>789</v>
      </c>
    </row>
    <row r="150" customFormat="false" ht="24" hidden="false" customHeight="true" outlineLevel="0" collapsed="false">
      <c r="A150" s="11" t="s">
        <v>38</v>
      </c>
      <c r="B150" s="8" t="s">
        <v>528</v>
      </c>
      <c r="C150" s="11" t="s">
        <v>529</v>
      </c>
      <c r="D150" s="11" t="s">
        <v>516</v>
      </c>
      <c r="E150" s="11" t="s">
        <v>233</v>
      </c>
      <c r="F150" s="11" t="s">
        <v>1050</v>
      </c>
      <c r="G150" s="17" t="s">
        <v>1057</v>
      </c>
      <c r="H150" s="11" t="s">
        <v>789</v>
      </c>
    </row>
    <row r="151" customFormat="false" ht="84.75" hidden="false" customHeight="true" outlineLevel="0" collapsed="false">
      <c r="A151" s="11" t="s">
        <v>38</v>
      </c>
      <c r="B151" s="8" t="s">
        <v>530</v>
      </c>
      <c r="C151" s="11" t="s">
        <v>531</v>
      </c>
      <c r="D151" s="11" t="s">
        <v>183</v>
      </c>
      <c r="E151" s="11" t="s">
        <v>532</v>
      </c>
      <c r="F151" s="11" t="s">
        <v>1058</v>
      </c>
      <c r="G151" s="17" t="s">
        <v>1059</v>
      </c>
      <c r="H151" s="11" t="s">
        <v>781</v>
      </c>
    </row>
    <row r="152" customFormat="false" ht="48.75" hidden="false" customHeight="true" outlineLevel="0" collapsed="false">
      <c r="A152" s="11" t="s">
        <v>38</v>
      </c>
      <c r="B152" s="8" t="s">
        <v>533</v>
      </c>
      <c r="C152" s="11" t="s">
        <v>534</v>
      </c>
      <c r="D152" s="11" t="s">
        <v>516</v>
      </c>
      <c r="E152" s="11" t="s">
        <v>233</v>
      </c>
      <c r="F152" s="11" t="s">
        <v>1060</v>
      </c>
      <c r="G152" s="17" t="s">
        <v>1061</v>
      </c>
      <c r="H152" s="11" t="s">
        <v>781</v>
      </c>
    </row>
    <row r="153" customFormat="false" ht="24" hidden="false" customHeight="true" outlineLevel="0" collapsed="false">
      <c r="A153" s="11" t="s">
        <v>38</v>
      </c>
      <c r="B153" s="8" t="s">
        <v>535</v>
      </c>
      <c r="C153" s="11" t="s">
        <v>536</v>
      </c>
      <c r="D153" s="11" t="s">
        <v>516</v>
      </c>
      <c r="E153" s="11" t="s">
        <v>233</v>
      </c>
      <c r="F153" s="11" t="s">
        <v>1050</v>
      </c>
      <c r="G153" s="17" t="s">
        <v>1062</v>
      </c>
      <c r="H153" s="11" t="s">
        <v>789</v>
      </c>
    </row>
    <row r="154" customFormat="false" ht="36" hidden="false" customHeight="true" outlineLevel="0" collapsed="false">
      <c r="A154" s="11" t="s">
        <v>38</v>
      </c>
      <c r="B154" s="8" t="s">
        <v>537</v>
      </c>
      <c r="C154" s="11" t="s">
        <v>538</v>
      </c>
      <c r="D154" s="11" t="s">
        <v>539</v>
      </c>
      <c r="E154" s="11" t="s">
        <v>233</v>
      </c>
      <c r="F154" s="11" t="s">
        <v>233</v>
      </c>
      <c r="G154" s="17" t="s">
        <v>1063</v>
      </c>
      <c r="H154" s="11" t="s">
        <v>789</v>
      </c>
    </row>
    <row r="155" customFormat="false" ht="36" hidden="false" customHeight="true" outlineLevel="0" collapsed="false">
      <c r="A155" s="11" t="s">
        <v>38</v>
      </c>
      <c r="B155" s="8" t="s">
        <v>540</v>
      </c>
      <c r="C155" s="11" t="s">
        <v>541</v>
      </c>
      <c r="D155" s="11" t="s">
        <v>516</v>
      </c>
      <c r="E155" s="11" t="s">
        <v>233</v>
      </c>
      <c r="F155" s="11" t="s">
        <v>1050</v>
      </c>
      <c r="G155" s="17" t="s">
        <v>1064</v>
      </c>
      <c r="H155" s="11" t="s">
        <v>781</v>
      </c>
    </row>
    <row r="156" customFormat="false" ht="84.75" hidden="false" customHeight="true" outlineLevel="0" collapsed="false">
      <c r="A156" s="11" t="s">
        <v>38</v>
      </c>
      <c r="B156" s="8" t="s">
        <v>542</v>
      </c>
      <c r="C156" s="11" t="s">
        <v>543</v>
      </c>
      <c r="D156" s="11" t="s">
        <v>183</v>
      </c>
      <c r="E156" s="11" t="s">
        <v>544</v>
      </c>
      <c r="F156" s="11" t="s">
        <v>1065</v>
      </c>
      <c r="G156" s="17" t="s">
        <v>1066</v>
      </c>
      <c r="H156" s="11" t="s">
        <v>789</v>
      </c>
    </row>
    <row r="157" customFormat="false" ht="158.25" hidden="false" customHeight="true" outlineLevel="0" collapsed="false">
      <c r="A157" s="11" t="s">
        <v>38</v>
      </c>
      <c r="B157" s="8" t="s">
        <v>545</v>
      </c>
      <c r="C157" s="11" t="s">
        <v>546</v>
      </c>
      <c r="D157" s="11" t="s">
        <v>183</v>
      </c>
      <c r="E157" s="11" t="s">
        <v>547</v>
      </c>
      <c r="F157" s="11" t="s">
        <v>1067</v>
      </c>
      <c r="G157" s="17" t="s">
        <v>1068</v>
      </c>
      <c r="H157" s="11" t="s">
        <v>789</v>
      </c>
    </row>
    <row r="158" customFormat="false" ht="36" hidden="false" customHeight="true" outlineLevel="0" collapsed="false">
      <c r="A158" s="11" t="s">
        <v>38</v>
      </c>
      <c r="B158" s="8" t="s">
        <v>548</v>
      </c>
      <c r="C158" s="11" t="s">
        <v>549</v>
      </c>
      <c r="D158" s="11" t="s">
        <v>183</v>
      </c>
      <c r="E158" s="11" t="s">
        <v>550</v>
      </c>
      <c r="F158" s="11" t="s">
        <v>1069</v>
      </c>
      <c r="G158" s="17" t="s">
        <v>1070</v>
      </c>
      <c r="H158" s="11" t="s">
        <v>789</v>
      </c>
    </row>
    <row r="159" customFormat="false" ht="84.75" hidden="false" customHeight="true" outlineLevel="0" collapsed="false">
      <c r="A159" s="11" t="s">
        <v>38</v>
      </c>
      <c r="B159" s="8" t="s">
        <v>551</v>
      </c>
      <c r="C159" s="11" t="s">
        <v>552</v>
      </c>
      <c r="D159" s="11" t="s">
        <v>183</v>
      </c>
      <c r="E159" s="11" t="s">
        <v>181</v>
      </c>
      <c r="F159" s="11" t="s">
        <v>1071</v>
      </c>
      <c r="G159" s="17" t="s">
        <v>1072</v>
      </c>
      <c r="H159" s="11" t="s">
        <v>781</v>
      </c>
    </row>
    <row r="160" customFormat="false" ht="36" hidden="false" customHeight="true" outlineLevel="0" collapsed="false">
      <c r="A160" s="11" t="s">
        <v>38</v>
      </c>
      <c r="B160" s="8" t="s">
        <v>553</v>
      </c>
      <c r="C160" s="11" t="s">
        <v>554</v>
      </c>
      <c r="D160" s="11" t="s">
        <v>516</v>
      </c>
      <c r="E160" s="11" t="s">
        <v>233</v>
      </c>
      <c r="F160" s="11" t="s">
        <v>1073</v>
      </c>
      <c r="G160" s="17" t="s">
        <v>1074</v>
      </c>
      <c r="H160" s="11" t="s">
        <v>789</v>
      </c>
    </row>
    <row r="161" customFormat="false" ht="109.5" hidden="false" customHeight="true" outlineLevel="0" collapsed="false">
      <c r="A161" s="11" t="s">
        <v>38</v>
      </c>
      <c r="B161" s="8" t="s">
        <v>555</v>
      </c>
      <c r="C161" s="11" t="s">
        <v>556</v>
      </c>
      <c r="D161" s="11" t="s">
        <v>557</v>
      </c>
      <c r="E161" s="11" t="s">
        <v>181</v>
      </c>
      <c r="F161" s="11" t="s">
        <v>1075</v>
      </c>
      <c r="G161" s="17" t="s">
        <v>1076</v>
      </c>
      <c r="H161" s="11" t="s">
        <v>789</v>
      </c>
    </row>
    <row r="162" customFormat="false" ht="84.75" hidden="false" customHeight="true" outlineLevel="0" collapsed="false">
      <c r="A162" s="11" t="s">
        <v>38</v>
      </c>
      <c r="B162" s="8" t="s">
        <v>558</v>
      </c>
      <c r="C162" s="11" t="s">
        <v>559</v>
      </c>
      <c r="D162" s="11" t="s">
        <v>183</v>
      </c>
      <c r="E162" s="11" t="s">
        <v>560</v>
      </c>
      <c r="F162" s="11" t="s">
        <v>1077</v>
      </c>
      <c r="G162" s="17" t="s">
        <v>1078</v>
      </c>
      <c r="H162" s="11" t="s">
        <v>789</v>
      </c>
    </row>
    <row r="163" customFormat="false" ht="60.75" hidden="false" customHeight="true" outlineLevel="0" collapsed="false">
      <c r="A163" s="11" t="s">
        <v>38</v>
      </c>
      <c r="B163" s="8" t="s">
        <v>561</v>
      </c>
      <c r="C163" s="11" t="s">
        <v>562</v>
      </c>
      <c r="D163" s="11" t="s">
        <v>512</v>
      </c>
      <c r="E163" s="11" t="s">
        <v>563</v>
      </c>
      <c r="F163" s="11" t="s">
        <v>1079</v>
      </c>
      <c r="G163" s="17" t="s">
        <v>1080</v>
      </c>
      <c r="H163" s="11" t="s">
        <v>789</v>
      </c>
    </row>
    <row r="164" customFormat="false" ht="15" hidden="false" customHeight="true" outlineLevel="0" collapsed="false">
      <c r="A164" s="11" t="s">
        <v>38</v>
      </c>
      <c r="B164" s="8" t="s">
        <v>564</v>
      </c>
      <c r="C164" s="11" t="s">
        <v>565</v>
      </c>
      <c r="D164" s="11" t="s">
        <v>183</v>
      </c>
      <c r="E164" s="11" t="s">
        <v>233</v>
      </c>
      <c r="F164" s="11" t="s">
        <v>1081</v>
      </c>
      <c r="G164" s="17" t="s">
        <v>1082</v>
      </c>
      <c r="H164" s="11" t="s">
        <v>786</v>
      </c>
    </row>
    <row r="165" customFormat="false" ht="36" hidden="false" customHeight="true" outlineLevel="0" collapsed="false">
      <c r="A165" s="11" t="s">
        <v>38</v>
      </c>
      <c r="B165" s="8" t="s">
        <v>566</v>
      </c>
      <c r="C165" s="11" t="s">
        <v>567</v>
      </c>
      <c r="D165" s="11" t="s">
        <v>323</v>
      </c>
      <c r="E165" s="11" t="s">
        <v>233</v>
      </c>
      <c r="F165" s="11" t="s">
        <v>233</v>
      </c>
      <c r="G165" s="17" t="s">
        <v>1083</v>
      </c>
      <c r="H165" s="11" t="s">
        <v>789</v>
      </c>
    </row>
    <row r="166" customFormat="false" ht="72.75" hidden="false" customHeight="true" outlineLevel="0" collapsed="false">
      <c r="A166" s="11" t="s">
        <v>38</v>
      </c>
      <c r="B166" s="8" t="s">
        <v>568</v>
      </c>
      <c r="C166" s="11" t="s">
        <v>569</v>
      </c>
      <c r="D166" s="11" t="s">
        <v>467</v>
      </c>
      <c r="E166" s="11" t="s">
        <v>570</v>
      </c>
      <c r="F166" s="11" t="s">
        <v>1084</v>
      </c>
      <c r="G166" s="17" t="s">
        <v>1085</v>
      </c>
      <c r="H166" s="11" t="s">
        <v>789</v>
      </c>
    </row>
    <row r="167" customFormat="false" ht="48.75" hidden="false" customHeight="true" outlineLevel="0" collapsed="false">
      <c r="A167" s="11" t="s">
        <v>38</v>
      </c>
      <c r="B167" s="8" t="s">
        <v>571</v>
      </c>
      <c r="C167" s="11" t="s">
        <v>572</v>
      </c>
      <c r="D167" s="11" t="s">
        <v>323</v>
      </c>
      <c r="E167" s="11" t="s">
        <v>233</v>
      </c>
      <c r="F167" s="11" t="s">
        <v>1086</v>
      </c>
      <c r="G167" s="17" t="s">
        <v>1087</v>
      </c>
      <c r="H167" s="11" t="s">
        <v>789</v>
      </c>
    </row>
    <row r="168" customFormat="false" ht="109.5" hidden="false" customHeight="true" outlineLevel="0" collapsed="false">
      <c r="A168" s="11" t="s">
        <v>38</v>
      </c>
      <c r="B168" s="8" t="s">
        <v>573</v>
      </c>
      <c r="C168" s="11" t="s">
        <v>574</v>
      </c>
      <c r="D168" s="11" t="s">
        <v>323</v>
      </c>
      <c r="E168" s="11" t="s">
        <v>575</v>
      </c>
      <c r="F168" s="11" t="s">
        <v>1088</v>
      </c>
      <c r="G168" s="17" t="s">
        <v>1089</v>
      </c>
      <c r="H168" s="11" t="s">
        <v>789</v>
      </c>
    </row>
    <row r="169" customFormat="false" ht="84.75" hidden="false" customHeight="true" outlineLevel="0" collapsed="false">
      <c r="A169" s="11" t="s">
        <v>38</v>
      </c>
      <c r="B169" s="8" t="s">
        <v>576</v>
      </c>
      <c r="C169" s="11" t="s">
        <v>577</v>
      </c>
      <c r="D169" s="11" t="s">
        <v>467</v>
      </c>
      <c r="E169" s="11" t="s">
        <v>578</v>
      </c>
      <c r="F169" s="11" t="s">
        <v>1090</v>
      </c>
      <c r="G169" s="17" t="s">
        <v>1091</v>
      </c>
      <c r="H169" s="11" t="s">
        <v>789</v>
      </c>
    </row>
    <row r="170" customFormat="false" ht="133.5" hidden="false" customHeight="true" outlineLevel="0" collapsed="false">
      <c r="A170" s="11" t="s">
        <v>38</v>
      </c>
      <c r="B170" s="8" t="s">
        <v>579</v>
      </c>
      <c r="C170" s="11" t="s">
        <v>580</v>
      </c>
      <c r="D170" s="11" t="s">
        <v>397</v>
      </c>
      <c r="E170" s="11" t="s">
        <v>581</v>
      </c>
      <c r="F170" s="11" t="s">
        <v>1092</v>
      </c>
      <c r="G170" s="17" t="s">
        <v>1056</v>
      </c>
      <c r="H170" s="11" t="s">
        <v>789</v>
      </c>
    </row>
    <row r="171" customFormat="false" ht="36" hidden="false" customHeight="true" outlineLevel="0" collapsed="false">
      <c r="A171" s="11" t="s">
        <v>38</v>
      </c>
      <c r="B171" s="8" t="s">
        <v>582</v>
      </c>
      <c r="C171" s="11" t="s">
        <v>583</v>
      </c>
      <c r="D171" s="11" t="s">
        <v>397</v>
      </c>
      <c r="E171" s="11" t="s">
        <v>233</v>
      </c>
      <c r="F171" s="11" t="s">
        <v>1093</v>
      </c>
      <c r="G171" s="17" t="s">
        <v>1094</v>
      </c>
      <c r="H171" s="11" t="s">
        <v>789</v>
      </c>
    </row>
    <row r="172" customFormat="false" ht="84.75" hidden="false" customHeight="true" outlineLevel="0" collapsed="false">
      <c r="A172" s="11" t="s">
        <v>38</v>
      </c>
      <c r="B172" s="8" t="s">
        <v>584</v>
      </c>
      <c r="C172" s="11" t="s">
        <v>585</v>
      </c>
      <c r="D172" s="11" t="s">
        <v>323</v>
      </c>
      <c r="E172" s="11" t="s">
        <v>586</v>
      </c>
      <c r="F172" s="11" t="s">
        <v>1095</v>
      </c>
      <c r="G172" s="17" t="s">
        <v>1037</v>
      </c>
      <c r="H172" s="11" t="s">
        <v>789</v>
      </c>
    </row>
    <row r="173" customFormat="false" ht="24" hidden="false" customHeight="true" outlineLevel="0" collapsed="false">
      <c r="A173" s="11" t="s">
        <v>38</v>
      </c>
      <c r="B173" s="8" t="s">
        <v>587</v>
      </c>
      <c r="C173" s="11" t="s">
        <v>588</v>
      </c>
      <c r="D173" s="11" t="s">
        <v>323</v>
      </c>
      <c r="E173" s="11" t="s">
        <v>233</v>
      </c>
      <c r="F173" s="11" t="s">
        <v>233</v>
      </c>
      <c r="G173" s="17" t="s">
        <v>1096</v>
      </c>
      <c r="H173" s="11" t="s">
        <v>789</v>
      </c>
    </row>
    <row r="174" customFormat="false" ht="24" hidden="false" customHeight="true" outlineLevel="0" collapsed="false">
      <c r="A174" s="11" t="s">
        <v>38</v>
      </c>
      <c r="B174" s="8" t="s">
        <v>589</v>
      </c>
      <c r="C174" s="11" t="s">
        <v>590</v>
      </c>
      <c r="D174" s="11" t="s">
        <v>397</v>
      </c>
      <c r="E174" s="11" t="s">
        <v>233</v>
      </c>
      <c r="F174" s="11" t="s">
        <v>233</v>
      </c>
      <c r="G174" s="17" t="s">
        <v>1097</v>
      </c>
      <c r="H174" s="11" t="s">
        <v>789</v>
      </c>
    </row>
    <row r="175" customFormat="false" ht="72.75" hidden="false" customHeight="true" outlineLevel="0" collapsed="false">
      <c r="A175" s="11" t="s">
        <v>40</v>
      </c>
      <c r="B175" s="8" t="s">
        <v>591</v>
      </c>
      <c r="C175" s="11" t="s">
        <v>498</v>
      </c>
      <c r="D175" s="11" t="s">
        <v>183</v>
      </c>
      <c r="E175" s="11" t="s">
        <v>592</v>
      </c>
      <c r="F175" s="11" t="s">
        <v>1098</v>
      </c>
      <c r="G175" s="17" t="s">
        <v>1099</v>
      </c>
      <c r="H175" s="11" t="s">
        <v>797</v>
      </c>
    </row>
    <row r="176" customFormat="false" ht="109.5" hidden="false" customHeight="true" outlineLevel="0" collapsed="false">
      <c r="A176" s="11" t="s">
        <v>40</v>
      </c>
      <c r="B176" s="8" t="s">
        <v>593</v>
      </c>
      <c r="C176" s="11" t="s">
        <v>594</v>
      </c>
      <c r="D176" s="11" t="s">
        <v>183</v>
      </c>
      <c r="E176" s="11" t="s">
        <v>181</v>
      </c>
      <c r="F176" s="11" t="s">
        <v>1100</v>
      </c>
      <c r="G176" s="17" t="s">
        <v>1101</v>
      </c>
      <c r="H176" s="11" t="s">
        <v>789</v>
      </c>
    </row>
    <row r="177" customFormat="false" ht="84.75" hidden="false" customHeight="true" outlineLevel="0" collapsed="false">
      <c r="A177" s="11" t="s">
        <v>40</v>
      </c>
      <c r="B177" s="8" t="s">
        <v>595</v>
      </c>
      <c r="C177" s="11" t="s">
        <v>596</v>
      </c>
      <c r="D177" s="11" t="s">
        <v>183</v>
      </c>
      <c r="E177" s="11" t="s">
        <v>597</v>
      </c>
      <c r="F177" s="11" t="s">
        <v>1102</v>
      </c>
      <c r="G177" s="17" t="s">
        <v>1103</v>
      </c>
      <c r="H177" s="11" t="s">
        <v>789</v>
      </c>
    </row>
    <row r="178" customFormat="false" ht="109.5" hidden="false" customHeight="true" outlineLevel="0" collapsed="false">
      <c r="A178" s="11" t="s">
        <v>40</v>
      </c>
      <c r="B178" s="8" t="s">
        <v>598</v>
      </c>
      <c r="C178" s="11" t="s">
        <v>546</v>
      </c>
      <c r="D178" s="11" t="s">
        <v>183</v>
      </c>
      <c r="E178" s="11" t="s">
        <v>181</v>
      </c>
      <c r="F178" s="11" t="s">
        <v>1104</v>
      </c>
      <c r="G178" s="17" t="s">
        <v>1105</v>
      </c>
      <c r="H178" s="11" t="s">
        <v>789</v>
      </c>
    </row>
    <row r="179" customFormat="false" ht="72.75" hidden="false" customHeight="true" outlineLevel="0" collapsed="false">
      <c r="A179" s="11" t="s">
        <v>40</v>
      </c>
      <c r="B179" s="8" t="s">
        <v>599</v>
      </c>
      <c r="C179" s="11" t="s">
        <v>600</v>
      </c>
      <c r="D179" s="11" t="s">
        <v>183</v>
      </c>
      <c r="E179" s="11" t="s">
        <v>601</v>
      </c>
      <c r="F179" s="11" t="s">
        <v>1106</v>
      </c>
      <c r="G179" s="17" t="s">
        <v>1107</v>
      </c>
      <c r="H179" s="11" t="s">
        <v>786</v>
      </c>
    </row>
    <row r="180" customFormat="false" ht="84.75" hidden="false" customHeight="true" outlineLevel="0" collapsed="false">
      <c r="A180" s="11" t="s">
        <v>40</v>
      </c>
      <c r="B180" s="8" t="s">
        <v>602</v>
      </c>
      <c r="C180" s="11" t="s">
        <v>603</v>
      </c>
      <c r="D180" s="11" t="s">
        <v>512</v>
      </c>
      <c r="E180" s="11" t="s">
        <v>604</v>
      </c>
      <c r="F180" s="11" t="s">
        <v>1108</v>
      </c>
      <c r="G180" s="17" t="s">
        <v>1109</v>
      </c>
      <c r="H180" s="11" t="s">
        <v>789</v>
      </c>
    </row>
    <row r="181" customFormat="false" ht="84.75" hidden="false" customHeight="true" outlineLevel="0" collapsed="false">
      <c r="A181" s="11" t="s">
        <v>40</v>
      </c>
      <c r="B181" s="8" t="s">
        <v>605</v>
      </c>
      <c r="C181" s="11" t="s">
        <v>606</v>
      </c>
      <c r="D181" s="11" t="s">
        <v>183</v>
      </c>
      <c r="E181" s="11" t="s">
        <v>607</v>
      </c>
      <c r="F181" s="11" t="s">
        <v>1110</v>
      </c>
      <c r="G181" s="17" t="s">
        <v>1111</v>
      </c>
      <c r="H181" s="11" t="s">
        <v>786</v>
      </c>
    </row>
    <row r="182" customFormat="false" ht="72.75" hidden="false" customHeight="true" outlineLevel="0" collapsed="false">
      <c r="A182" s="11" t="s">
        <v>40</v>
      </c>
      <c r="B182" s="8" t="s">
        <v>608</v>
      </c>
      <c r="C182" s="11" t="s">
        <v>609</v>
      </c>
      <c r="D182" s="11" t="s">
        <v>183</v>
      </c>
      <c r="E182" s="11" t="s">
        <v>610</v>
      </c>
      <c r="F182" s="11" t="s">
        <v>1112</v>
      </c>
      <c r="G182" s="17" t="s">
        <v>1113</v>
      </c>
      <c r="H182" s="11" t="s">
        <v>797</v>
      </c>
    </row>
    <row r="183" customFormat="false" ht="84.75" hidden="false" customHeight="true" outlineLevel="0" collapsed="false">
      <c r="A183" s="11" t="s">
        <v>40</v>
      </c>
      <c r="B183" s="8" t="s">
        <v>611</v>
      </c>
      <c r="C183" s="11" t="s">
        <v>211</v>
      </c>
      <c r="D183" s="11" t="s">
        <v>212</v>
      </c>
      <c r="E183" s="11" t="s">
        <v>612</v>
      </c>
      <c r="F183" s="11" t="s">
        <v>1114</v>
      </c>
      <c r="G183" s="17" t="s">
        <v>1115</v>
      </c>
      <c r="H183" s="11" t="s">
        <v>797</v>
      </c>
    </row>
    <row r="184" customFormat="false" ht="72.75" hidden="false" customHeight="true" outlineLevel="0" collapsed="false">
      <c r="A184" s="11" t="s">
        <v>40</v>
      </c>
      <c r="B184" s="8" t="s">
        <v>613</v>
      </c>
      <c r="C184" s="11" t="s">
        <v>614</v>
      </c>
      <c r="D184" s="11" t="s">
        <v>183</v>
      </c>
      <c r="E184" s="11" t="s">
        <v>279</v>
      </c>
      <c r="F184" s="11" t="s">
        <v>1116</v>
      </c>
      <c r="G184" s="17" t="s">
        <v>1117</v>
      </c>
      <c r="H184" s="11" t="s">
        <v>797</v>
      </c>
    </row>
    <row r="185" customFormat="false" ht="72.75" hidden="false" customHeight="true" outlineLevel="0" collapsed="false">
      <c r="A185" s="11" t="s">
        <v>40</v>
      </c>
      <c r="B185" s="8" t="s">
        <v>615</v>
      </c>
      <c r="C185" s="11" t="s">
        <v>16</v>
      </c>
      <c r="D185" s="11" t="s">
        <v>616</v>
      </c>
      <c r="E185" s="11" t="s">
        <v>233</v>
      </c>
      <c r="F185" s="11" t="s">
        <v>1118</v>
      </c>
      <c r="G185" s="17" t="s">
        <v>1119</v>
      </c>
      <c r="H185" s="11" t="s">
        <v>786</v>
      </c>
    </row>
    <row r="186" customFormat="false" ht="97.5" hidden="false" customHeight="true" outlineLevel="0" collapsed="false">
      <c r="A186" s="11" t="s">
        <v>40</v>
      </c>
      <c r="B186" s="8" t="s">
        <v>617</v>
      </c>
      <c r="C186" s="11" t="s">
        <v>618</v>
      </c>
      <c r="D186" s="11" t="s">
        <v>616</v>
      </c>
      <c r="E186" s="11" t="s">
        <v>619</v>
      </c>
      <c r="F186" s="11" t="s">
        <v>1120</v>
      </c>
      <c r="G186" s="17" t="s">
        <v>1121</v>
      </c>
      <c r="H186" s="11" t="s">
        <v>789</v>
      </c>
    </row>
    <row r="187" customFormat="false" ht="72.75" hidden="false" customHeight="true" outlineLevel="0" collapsed="false">
      <c r="A187" s="11" t="s">
        <v>40</v>
      </c>
      <c r="B187" s="8" t="s">
        <v>620</v>
      </c>
      <c r="C187" s="11" t="s">
        <v>621</v>
      </c>
      <c r="D187" s="11" t="s">
        <v>616</v>
      </c>
      <c r="E187" s="11" t="s">
        <v>233</v>
      </c>
      <c r="F187" s="11" t="s">
        <v>1122</v>
      </c>
      <c r="G187" s="17" t="s">
        <v>1123</v>
      </c>
      <c r="H187" s="11" t="s">
        <v>789</v>
      </c>
    </row>
    <row r="188" customFormat="false" ht="72.75" hidden="false" customHeight="true" outlineLevel="0" collapsed="false">
      <c r="A188" s="11" t="s">
        <v>40</v>
      </c>
      <c r="B188" s="8" t="s">
        <v>622</v>
      </c>
      <c r="C188" s="11" t="s">
        <v>623</v>
      </c>
      <c r="D188" s="11" t="s">
        <v>616</v>
      </c>
      <c r="E188" s="11" t="s">
        <v>233</v>
      </c>
      <c r="F188" s="11" t="s">
        <v>1124</v>
      </c>
      <c r="G188" s="17" t="s">
        <v>1125</v>
      </c>
      <c r="H188" s="11" t="s">
        <v>789</v>
      </c>
    </row>
    <row r="189" customFormat="false" ht="121.5" hidden="false" customHeight="true" outlineLevel="0" collapsed="false">
      <c r="A189" s="11" t="s">
        <v>40</v>
      </c>
      <c r="B189" s="8" t="s">
        <v>624</v>
      </c>
      <c r="C189" s="11" t="s">
        <v>543</v>
      </c>
      <c r="D189" s="11" t="s">
        <v>183</v>
      </c>
      <c r="E189" s="11" t="s">
        <v>181</v>
      </c>
      <c r="F189" s="11" t="s">
        <v>1126</v>
      </c>
      <c r="G189" s="17" t="s">
        <v>1127</v>
      </c>
      <c r="H189" s="11" t="s">
        <v>789</v>
      </c>
    </row>
    <row r="190" customFormat="false" ht="72.75" hidden="false" customHeight="true" outlineLevel="0" collapsed="false">
      <c r="A190" s="11" t="s">
        <v>40</v>
      </c>
      <c r="B190" s="8" t="s">
        <v>625</v>
      </c>
      <c r="C190" s="11" t="s">
        <v>626</v>
      </c>
      <c r="D190" s="11" t="s">
        <v>183</v>
      </c>
      <c r="E190" s="11" t="s">
        <v>627</v>
      </c>
      <c r="F190" s="11" t="s">
        <v>1128</v>
      </c>
      <c r="G190" s="17" t="s">
        <v>1129</v>
      </c>
      <c r="H190" s="11" t="s">
        <v>797</v>
      </c>
    </row>
    <row r="191" customFormat="false" ht="72.75" hidden="false" customHeight="true" outlineLevel="0" collapsed="false">
      <c r="A191" s="11" t="s">
        <v>40</v>
      </c>
      <c r="B191" s="8" t="s">
        <v>628</v>
      </c>
      <c r="C191" s="11" t="s">
        <v>629</v>
      </c>
      <c r="D191" s="11" t="s">
        <v>183</v>
      </c>
      <c r="E191" s="11" t="s">
        <v>279</v>
      </c>
      <c r="F191" s="11" t="s">
        <v>1130</v>
      </c>
      <c r="G191" s="17" t="s">
        <v>1131</v>
      </c>
      <c r="H191" s="11" t="s">
        <v>786</v>
      </c>
    </row>
    <row r="192" customFormat="false" ht="84.75" hidden="false" customHeight="true" outlineLevel="0" collapsed="false">
      <c r="A192" s="11" t="s">
        <v>40</v>
      </c>
      <c r="B192" s="8" t="s">
        <v>630</v>
      </c>
      <c r="C192" s="11" t="s">
        <v>631</v>
      </c>
      <c r="D192" s="11" t="s">
        <v>212</v>
      </c>
      <c r="E192" s="11" t="s">
        <v>632</v>
      </c>
      <c r="F192" s="11" t="s">
        <v>1132</v>
      </c>
      <c r="G192" s="17" t="s">
        <v>1133</v>
      </c>
      <c r="H192" s="11" t="s">
        <v>797</v>
      </c>
    </row>
    <row r="193" customFormat="false" ht="207" hidden="false" customHeight="true" outlineLevel="0" collapsed="false">
      <c r="A193" s="11" t="s">
        <v>40</v>
      </c>
      <c r="B193" s="8" t="s">
        <v>633</v>
      </c>
      <c r="C193" s="11" t="s">
        <v>546</v>
      </c>
      <c r="D193" s="11" t="s">
        <v>183</v>
      </c>
      <c r="E193" s="11" t="s">
        <v>634</v>
      </c>
      <c r="F193" s="11" t="s">
        <v>1134</v>
      </c>
      <c r="G193" s="17" t="s">
        <v>1135</v>
      </c>
      <c r="H193" s="11" t="s">
        <v>789</v>
      </c>
    </row>
    <row r="194" customFormat="false" ht="109.5" hidden="false" customHeight="true" outlineLevel="0" collapsed="false">
      <c r="A194" s="11" t="s">
        <v>40</v>
      </c>
      <c r="B194" s="8" t="s">
        <v>635</v>
      </c>
      <c r="C194" s="11" t="s">
        <v>636</v>
      </c>
      <c r="D194" s="11" t="s">
        <v>183</v>
      </c>
      <c r="E194" s="11" t="s">
        <v>637</v>
      </c>
      <c r="F194" s="11" t="s">
        <v>1136</v>
      </c>
      <c r="G194" s="17" t="s">
        <v>1137</v>
      </c>
      <c r="H194" s="11" t="s">
        <v>797</v>
      </c>
    </row>
    <row r="195" customFormat="false" ht="72.75" hidden="false" customHeight="true" outlineLevel="0" collapsed="false">
      <c r="A195" s="11" t="s">
        <v>40</v>
      </c>
      <c r="B195" s="8" t="s">
        <v>638</v>
      </c>
      <c r="C195" s="11" t="s">
        <v>551</v>
      </c>
      <c r="D195" s="11" t="s">
        <v>183</v>
      </c>
      <c r="E195" s="11" t="s">
        <v>181</v>
      </c>
      <c r="F195" s="11" t="s">
        <v>1138</v>
      </c>
      <c r="G195" s="17" t="s">
        <v>1072</v>
      </c>
      <c r="H195" s="11" t="s">
        <v>781</v>
      </c>
    </row>
    <row r="196" customFormat="false" ht="84.75" hidden="false" customHeight="true" outlineLevel="0" collapsed="false">
      <c r="A196" s="11" t="s">
        <v>40</v>
      </c>
      <c r="B196" s="8" t="s">
        <v>639</v>
      </c>
      <c r="C196" s="11" t="s">
        <v>640</v>
      </c>
      <c r="D196" s="11" t="s">
        <v>183</v>
      </c>
      <c r="E196" s="11" t="s">
        <v>641</v>
      </c>
      <c r="F196" s="11" t="s">
        <v>1139</v>
      </c>
      <c r="G196" s="17" t="s">
        <v>1140</v>
      </c>
      <c r="H196" s="11" t="s">
        <v>789</v>
      </c>
    </row>
    <row r="197" customFormat="false" ht="72.75" hidden="false" customHeight="true" outlineLevel="0" collapsed="false">
      <c r="A197" s="11" t="s">
        <v>40</v>
      </c>
      <c r="B197" s="8" t="s">
        <v>642</v>
      </c>
      <c r="C197" s="11" t="s">
        <v>643</v>
      </c>
      <c r="D197" s="11" t="s">
        <v>183</v>
      </c>
      <c r="E197" s="11" t="s">
        <v>233</v>
      </c>
      <c r="F197" s="11" t="s">
        <v>1141</v>
      </c>
      <c r="G197" s="17" t="s">
        <v>1142</v>
      </c>
      <c r="H197" s="11" t="s">
        <v>789</v>
      </c>
    </row>
    <row r="198" customFormat="false" ht="97.5" hidden="false" customHeight="true" outlineLevel="0" collapsed="false">
      <c r="A198" s="11" t="s">
        <v>40</v>
      </c>
      <c r="B198" s="8" t="s">
        <v>644</v>
      </c>
      <c r="C198" s="11" t="s">
        <v>645</v>
      </c>
      <c r="D198" s="11" t="s">
        <v>646</v>
      </c>
      <c r="E198" s="11" t="s">
        <v>647</v>
      </c>
      <c r="F198" s="11" t="s">
        <v>1143</v>
      </c>
      <c r="G198" s="17" t="s">
        <v>1144</v>
      </c>
      <c r="H198" s="11" t="s">
        <v>789</v>
      </c>
    </row>
    <row r="199" customFormat="false" ht="72.75" hidden="false" customHeight="true" outlineLevel="0" collapsed="false">
      <c r="A199" s="11" t="s">
        <v>40</v>
      </c>
      <c r="B199" s="8" t="s">
        <v>648</v>
      </c>
      <c r="C199" s="11" t="s">
        <v>649</v>
      </c>
      <c r="D199" s="11" t="s">
        <v>650</v>
      </c>
      <c r="E199" s="11" t="s">
        <v>651</v>
      </c>
      <c r="F199" s="11" t="s">
        <v>1145</v>
      </c>
      <c r="G199" s="17" t="s">
        <v>1121</v>
      </c>
      <c r="H199" s="11" t="s">
        <v>797</v>
      </c>
    </row>
    <row r="200" customFormat="false" ht="72.75" hidden="false" customHeight="true" outlineLevel="0" collapsed="false">
      <c r="A200" s="11" t="s">
        <v>40</v>
      </c>
      <c r="B200" s="8" t="s">
        <v>652</v>
      </c>
      <c r="C200" s="11" t="s">
        <v>653</v>
      </c>
      <c r="D200" s="11" t="s">
        <v>467</v>
      </c>
      <c r="E200" s="11" t="s">
        <v>491</v>
      </c>
      <c r="F200" s="11" t="s">
        <v>1146</v>
      </c>
      <c r="G200" s="17" t="s">
        <v>1147</v>
      </c>
      <c r="H200" s="11" t="s">
        <v>789</v>
      </c>
    </row>
    <row r="201" customFormat="false" ht="72.75" hidden="false" customHeight="true" outlineLevel="0" collapsed="false">
      <c r="A201" s="11" t="s">
        <v>40</v>
      </c>
      <c r="B201" s="8" t="s">
        <v>654</v>
      </c>
      <c r="C201" s="11" t="s">
        <v>655</v>
      </c>
      <c r="D201" s="11" t="s">
        <v>467</v>
      </c>
      <c r="E201" s="11" t="s">
        <v>233</v>
      </c>
      <c r="F201" s="11" t="s">
        <v>1148</v>
      </c>
      <c r="G201" s="17" t="s">
        <v>1149</v>
      </c>
      <c r="H201" s="11" t="s">
        <v>789</v>
      </c>
    </row>
    <row r="202" customFormat="false" ht="72.75" hidden="false" customHeight="true" outlineLevel="0" collapsed="false">
      <c r="A202" s="11" t="s">
        <v>40</v>
      </c>
      <c r="B202" s="8" t="s">
        <v>656</v>
      </c>
      <c r="C202" s="11" t="s">
        <v>657</v>
      </c>
      <c r="D202" s="11" t="s">
        <v>467</v>
      </c>
      <c r="E202" s="11" t="s">
        <v>233</v>
      </c>
      <c r="F202" s="11" t="s">
        <v>1148</v>
      </c>
      <c r="G202" s="17" t="s">
        <v>1150</v>
      </c>
      <c r="H202" s="11" t="s">
        <v>781</v>
      </c>
    </row>
    <row r="203" customFormat="false" ht="84.75" hidden="false" customHeight="true" outlineLevel="0" collapsed="false">
      <c r="A203" s="11" t="s">
        <v>42</v>
      </c>
      <c r="B203" s="8" t="s">
        <v>178</v>
      </c>
      <c r="C203" s="11" t="s">
        <v>179</v>
      </c>
      <c r="D203" s="11" t="s">
        <v>658</v>
      </c>
      <c r="E203" s="11" t="s">
        <v>659</v>
      </c>
      <c r="F203" s="11" t="s">
        <v>1151</v>
      </c>
      <c r="G203" s="17" t="s">
        <v>1152</v>
      </c>
      <c r="H203" s="11" t="s">
        <v>781</v>
      </c>
    </row>
    <row r="204" customFormat="false" ht="24" hidden="false" customHeight="true" outlineLevel="0" collapsed="false">
      <c r="A204" s="11" t="s">
        <v>42</v>
      </c>
      <c r="B204" s="8" t="s">
        <v>660</v>
      </c>
      <c r="C204" s="11" t="s">
        <v>182</v>
      </c>
      <c r="D204" s="11" t="s">
        <v>183</v>
      </c>
      <c r="E204" s="11" t="s">
        <v>661</v>
      </c>
      <c r="F204" s="11" t="s">
        <v>1153</v>
      </c>
      <c r="G204" s="17" t="s">
        <v>1154</v>
      </c>
      <c r="H204" s="11" t="s">
        <v>786</v>
      </c>
    </row>
    <row r="205" customFormat="false" ht="84.75" hidden="false" customHeight="true" outlineLevel="0" collapsed="false">
      <c r="A205" s="11" t="s">
        <v>42</v>
      </c>
      <c r="B205" s="8" t="s">
        <v>662</v>
      </c>
      <c r="C205" s="11" t="s">
        <v>663</v>
      </c>
      <c r="D205" s="11" t="s">
        <v>183</v>
      </c>
      <c r="E205" s="11" t="s">
        <v>664</v>
      </c>
      <c r="F205" s="11" t="s">
        <v>1155</v>
      </c>
      <c r="G205" s="17" t="s">
        <v>1156</v>
      </c>
      <c r="H205" s="11" t="s">
        <v>794</v>
      </c>
    </row>
    <row r="206" customFormat="false" ht="36" hidden="false" customHeight="true" outlineLevel="0" collapsed="false">
      <c r="A206" s="11" t="s">
        <v>42</v>
      </c>
      <c r="B206" s="8" t="s">
        <v>665</v>
      </c>
      <c r="C206" s="11" t="s">
        <v>498</v>
      </c>
      <c r="D206" s="11" t="s">
        <v>183</v>
      </c>
      <c r="E206" s="11" t="s">
        <v>666</v>
      </c>
      <c r="F206" s="11" t="s">
        <v>1157</v>
      </c>
      <c r="G206" s="17" t="s">
        <v>1158</v>
      </c>
      <c r="H206" s="11" t="s">
        <v>786</v>
      </c>
    </row>
    <row r="207" customFormat="false" ht="60.75" hidden="false" customHeight="true" outlineLevel="0" collapsed="false">
      <c r="A207" s="11" t="s">
        <v>42</v>
      </c>
      <c r="B207" s="8" t="s">
        <v>667</v>
      </c>
      <c r="C207" s="11" t="s">
        <v>594</v>
      </c>
      <c r="D207" s="11" t="s">
        <v>183</v>
      </c>
      <c r="E207" s="11" t="s">
        <v>668</v>
      </c>
      <c r="F207" s="11" t="s">
        <v>1159</v>
      </c>
      <c r="G207" s="17" t="s">
        <v>1160</v>
      </c>
      <c r="H207" s="11" t="s">
        <v>797</v>
      </c>
    </row>
    <row r="208" customFormat="false" ht="109.5" hidden="false" customHeight="true" outlineLevel="0" collapsed="false">
      <c r="A208" s="11" t="s">
        <v>42</v>
      </c>
      <c r="B208" s="8" t="s">
        <v>669</v>
      </c>
      <c r="C208" s="11" t="s">
        <v>670</v>
      </c>
      <c r="D208" s="11" t="s">
        <v>183</v>
      </c>
      <c r="E208" s="11" t="s">
        <v>671</v>
      </c>
      <c r="F208" s="11" t="s">
        <v>1161</v>
      </c>
      <c r="G208" s="17" t="s">
        <v>1162</v>
      </c>
      <c r="H208" s="11" t="s">
        <v>789</v>
      </c>
    </row>
    <row r="209" customFormat="false" ht="121.5" hidden="false" customHeight="true" outlineLevel="0" collapsed="false">
      <c r="A209" s="11" t="s">
        <v>42</v>
      </c>
      <c r="B209" s="8" t="s">
        <v>72</v>
      </c>
      <c r="C209" s="11" t="s">
        <v>672</v>
      </c>
      <c r="D209" s="11" t="s">
        <v>183</v>
      </c>
      <c r="E209" s="11" t="s">
        <v>673</v>
      </c>
      <c r="F209" s="11" t="s">
        <v>1163</v>
      </c>
      <c r="G209" s="17" t="s">
        <v>1164</v>
      </c>
      <c r="H209" s="11" t="s">
        <v>789</v>
      </c>
    </row>
    <row r="210" customFormat="false" ht="60.75" hidden="false" customHeight="true" outlineLevel="0" collapsed="false">
      <c r="A210" s="11" t="s">
        <v>42</v>
      </c>
      <c r="B210" s="8" t="s">
        <v>674</v>
      </c>
      <c r="C210" s="11" t="s">
        <v>675</v>
      </c>
      <c r="D210" s="11" t="s">
        <v>183</v>
      </c>
      <c r="E210" s="11" t="s">
        <v>676</v>
      </c>
      <c r="F210" s="11" t="s">
        <v>1165</v>
      </c>
      <c r="G210" s="17" t="s">
        <v>1166</v>
      </c>
      <c r="H210" s="11" t="s">
        <v>797</v>
      </c>
    </row>
    <row r="211" customFormat="false" ht="48.75" hidden="false" customHeight="true" outlineLevel="0" collapsed="false">
      <c r="A211" s="11" t="s">
        <v>42</v>
      </c>
      <c r="B211" s="8" t="s">
        <v>677</v>
      </c>
      <c r="C211" s="11" t="s">
        <v>193</v>
      </c>
      <c r="D211" s="11" t="s">
        <v>183</v>
      </c>
      <c r="E211" s="11" t="s">
        <v>678</v>
      </c>
      <c r="F211" s="11" t="s">
        <v>1167</v>
      </c>
      <c r="G211" s="17" t="s">
        <v>1168</v>
      </c>
      <c r="H211" s="11" t="s">
        <v>786</v>
      </c>
    </row>
    <row r="212" customFormat="false" ht="36" hidden="false" customHeight="true" outlineLevel="0" collapsed="false">
      <c r="A212" s="11" t="s">
        <v>42</v>
      </c>
      <c r="B212" s="8" t="s">
        <v>679</v>
      </c>
      <c r="C212" s="11" t="s">
        <v>680</v>
      </c>
      <c r="D212" s="11" t="s">
        <v>183</v>
      </c>
      <c r="E212" s="11" t="s">
        <v>181</v>
      </c>
      <c r="F212" s="11" t="s">
        <v>1169</v>
      </c>
      <c r="G212" s="17" t="s">
        <v>1170</v>
      </c>
      <c r="H212" s="11" t="s">
        <v>794</v>
      </c>
    </row>
    <row r="213" customFormat="false" ht="60.75" hidden="false" customHeight="true" outlineLevel="0" collapsed="false">
      <c r="A213" s="11" t="s">
        <v>42</v>
      </c>
      <c r="B213" s="8" t="s">
        <v>681</v>
      </c>
      <c r="C213" s="11" t="s">
        <v>448</v>
      </c>
      <c r="D213" s="11" t="s">
        <v>183</v>
      </c>
      <c r="E213" s="11" t="s">
        <v>682</v>
      </c>
      <c r="F213" s="11" t="s">
        <v>1171</v>
      </c>
      <c r="G213" s="17" t="s">
        <v>1172</v>
      </c>
      <c r="H213" s="11" t="s">
        <v>781</v>
      </c>
    </row>
    <row r="214" customFormat="false" ht="60.75" hidden="false" customHeight="true" outlineLevel="0" collapsed="false">
      <c r="A214" s="11" t="s">
        <v>42</v>
      </c>
      <c r="B214" s="8" t="s">
        <v>683</v>
      </c>
      <c r="C214" s="11" t="s">
        <v>684</v>
      </c>
      <c r="D214" s="11" t="s">
        <v>183</v>
      </c>
      <c r="E214" s="11" t="s">
        <v>685</v>
      </c>
      <c r="F214" s="11" t="s">
        <v>1173</v>
      </c>
      <c r="G214" s="17" t="s">
        <v>1174</v>
      </c>
      <c r="H214" s="11" t="s">
        <v>794</v>
      </c>
    </row>
    <row r="215" customFormat="false" ht="72.75" hidden="false" customHeight="true" outlineLevel="0" collapsed="false">
      <c r="A215" s="11" t="s">
        <v>42</v>
      </c>
      <c r="B215" s="8" t="s">
        <v>686</v>
      </c>
      <c r="C215" s="11" t="s">
        <v>271</v>
      </c>
      <c r="D215" s="11" t="s">
        <v>183</v>
      </c>
      <c r="E215" s="11" t="s">
        <v>687</v>
      </c>
      <c r="F215" s="11" t="s">
        <v>1175</v>
      </c>
      <c r="G215" s="17" t="s">
        <v>1176</v>
      </c>
      <c r="H215" s="11" t="s">
        <v>797</v>
      </c>
    </row>
    <row r="216" customFormat="false" ht="48.75" hidden="false" customHeight="true" outlineLevel="0" collapsed="false">
      <c r="A216" s="11" t="s">
        <v>42</v>
      </c>
      <c r="B216" s="8" t="s">
        <v>688</v>
      </c>
      <c r="C216" s="11" t="s">
        <v>197</v>
      </c>
      <c r="D216" s="11" t="s">
        <v>183</v>
      </c>
      <c r="E216" s="11" t="s">
        <v>181</v>
      </c>
      <c r="F216" s="11" t="s">
        <v>1177</v>
      </c>
      <c r="G216" s="17" t="s">
        <v>1178</v>
      </c>
      <c r="H216" s="11" t="s">
        <v>786</v>
      </c>
    </row>
    <row r="217" customFormat="false" ht="84.75" hidden="false" customHeight="true" outlineLevel="0" collapsed="false">
      <c r="A217" s="11" t="s">
        <v>42</v>
      </c>
      <c r="B217" s="8" t="s">
        <v>689</v>
      </c>
      <c r="C217" s="11" t="s">
        <v>86</v>
      </c>
      <c r="D217" s="11" t="s">
        <v>183</v>
      </c>
      <c r="E217" s="11" t="s">
        <v>690</v>
      </c>
      <c r="F217" s="11" t="s">
        <v>1179</v>
      </c>
      <c r="G217" s="17" t="s">
        <v>1180</v>
      </c>
      <c r="H217" s="11" t="s">
        <v>789</v>
      </c>
    </row>
    <row r="218" customFormat="false" ht="48.75" hidden="false" customHeight="true" outlineLevel="0" collapsed="false">
      <c r="A218" s="11" t="s">
        <v>42</v>
      </c>
      <c r="B218" s="8" t="s">
        <v>691</v>
      </c>
      <c r="C218" s="11" t="s">
        <v>692</v>
      </c>
      <c r="D218" s="11" t="s">
        <v>183</v>
      </c>
      <c r="E218" s="11" t="s">
        <v>693</v>
      </c>
      <c r="F218" s="11" t="s">
        <v>1181</v>
      </c>
      <c r="G218" s="17" t="s">
        <v>1182</v>
      </c>
      <c r="H218" s="11" t="s">
        <v>786</v>
      </c>
    </row>
    <row r="219" customFormat="false" ht="158.25" hidden="false" customHeight="true" outlineLevel="0" collapsed="false">
      <c r="A219" s="11" t="s">
        <v>42</v>
      </c>
      <c r="B219" s="8" t="s">
        <v>694</v>
      </c>
      <c r="C219" s="11" t="s">
        <v>202</v>
      </c>
      <c r="D219" s="11" t="s">
        <v>695</v>
      </c>
      <c r="E219" s="11" t="s">
        <v>696</v>
      </c>
      <c r="F219" s="11" t="s">
        <v>1183</v>
      </c>
      <c r="G219" s="17" t="s">
        <v>807</v>
      </c>
      <c r="H219" s="11" t="s">
        <v>789</v>
      </c>
    </row>
    <row r="220" customFormat="false" ht="24" hidden="false" customHeight="true" outlineLevel="0" collapsed="false">
      <c r="A220" s="11" t="s">
        <v>42</v>
      </c>
      <c r="B220" s="8" t="s">
        <v>697</v>
      </c>
      <c r="C220" s="11" t="s">
        <v>698</v>
      </c>
      <c r="D220" s="11" t="s">
        <v>183</v>
      </c>
      <c r="E220" s="11" t="s">
        <v>699</v>
      </c>
      <c r="F220" s="11" t="s">
        <v>1184</v>
      </c>
      <c r="G220" s="17" t="s">
        <v>1185</v>
      </c>
      <c r="H220" s="11" t="s">
        <v>781</v>
      </c>
    </row>
    <row r="221" customFormat="false" ht="84.75" hidden="false" customHeight="true" outlineLevel="0" collapsed="false">
      <c r="A221" s="11" t="s">
        <v>42</v>
      </c>
      <c r="B221" s="8" t="s">
        <v>700</v>
      </c>
      <c r="C221" s="11" t="s">
        <v>208</v>
      </c>
      <c r="D221" s="11" t="s">
        <v>183</v>
      </c>
      <c r="E221" s="11" t="s">
        <v>701</v>
      </c>
      <c r="F221" s="11" t="s">
        <v>1186</v>
      </c>
      <c r="G221" s="17" t="s">
        <v>1187</v>
      </c>
      <c r="H221" s="11" t="s">
        <v>789</v>
      </c>
    </row>
    <row r="222" customFormat="false" ht="48.75" hidden="false" customHeight="true" outlineLevel="0" collapsed="false">
      <c r="A222" s="11" t="s">
        <v>42</v>
      </c>
      <c r="B222" s="8" t="s">
        <v>702</v>
      </c>
      <c r="C222" s="11" t="s">
        <v>703</v>
      </c>
      <c r="D222" s="11" t="s">
        <v>183</v>
      </c>
      <c r="E222" s="11" t="s">
        <v>704</v>
      </c>
      <c r="F222" s="11" t="s">
        <v>1188</v>
      </c>
      <c r="G222" s="17" t="s">
        <v>1189</v>
      </c>
      <c r="H222" s="11" t="s">
        <v>781</v>
      </c>
    </row>
    <row r="223" customFormat="false" ht="60.75" hidden="false" customHeight="true" outlineLevel="0" collapsed="false">
      <c r="A223" s="11" t="s">
        <v>42</v>
      </c>
      <c r="B223" s="8" t="s">
        <v>705</v>
      </c>
      <c r="C223" s="11" t="s">
        <v>286</v>
      </c>
      <c r="D223" s="11" t="s">
        <v>706</v>
      </c>
      <c r="E223" s="11" t="s">
        <v>707</v>
      </c>
      <c r="F223" s="11" t="s">
        <v>1190</v>
      </c>
      <c r="G223" s="17" t="s">
        <v>1191</v>
      </c>
      <c r="H223" s="11" t="s">
        <v>789</v>
      </c>
    </row>
    <row r="224" customFormat="false" ht="48.75" hidden="false" customHeight="true" outlineLevel="0" collapsed="false">
      <c r="A224" s="11" t="s">
        <v>42</v>
      </c>
      <c r="B224" s="8" t="s">
        <v>708</v>
      </c>
      <c r="C224" s="11" t="s">
        <v>709</v>
      </c>
      <c r="D224" s="11" t="s">
        <v>710</v>
      </c>
      <c r="E224" s="11" t="s">
        <v>711</v>
      </c>
      <c r="F224" s="11" t="s">
        <v>1192</v>
      </c>
      <c r="G224" s="17" t="s">
        <v>813</v>
      </c>
      <c r="H224" s="11" t="s">
        <v>797</v>
      </c>
    </row>
    <row r="225" customFormat="false" ht="72.75" hidden="false" customHeight="true" outlineLevel="0" collapsed="false">
      <c r="A225" s="11" t="s">
        <v>42</v>
      </c>
      <c r="B225" s="8" t="s">
        <v>712</v>
      </c>
      <c r="C225" s="11" t="s">
        <v>377</v>
      </c>
      <c r="D225" s="11" t="s">
        <v>183</v>
      </c>
      <c r="E225" s="11" t="s">
        <v>713</v>
      </c>
      <c r="F225" s="11" t="s">
        <v>1193</v>
      </c>
      <c r="G225" s="17" t="s">
        <v>935</v>
      </c>
      <c r="H225" s="11" t="s">
        <v>789</v>
      </c>
    </row>
    <row r="226" customFormat="false" ht="48.75" hidden="false" customHeight="true" outlineLevel="0" collapsed="false">
      <c r="A226" s="11" t="s">
        <v>42</v>
      </c>
      <c r="B226" s="8" t="s">
        <v>714</v>
      </c>
      <c r="C226" s="11" t="s">
        <v>715</v>
      </c>
      <c r="D226" s="11" t="s">
        <v>716</v>
      </c>
      <c r="E226" s="11" t="s">
        <v>717</v>
      </c>
      <c r="F226" s="11" t="s">
        <v>1194</v>
      </c>
      <c r="G226" s="17" t="s">
        <v>1195</v>
      </c>
      <c r="H226" s="11" t="s">
        <v>789</v>
      </c>
    </row>
    <row r="227" customFormat="false" ht="48.75" hidden="false" customHeight="true" outlineLevel="0" collapsed="false">
      <c r="A227" s="11" t="s">
        <v>42</v>
      </c>
      <c r="B227" s="8" t="s">
        <v>718</v>
      </c>
      <c r="C227" s="11" t="s">
        <v>216</v>
      </c>
      <c r="D227" s="11" t="s">
        <v>719</v>
      </c>
      <c r="E227" s="11" t="s">
        <v>720</v>
      </c>
      <c r="F227" s="11" t="s">
        <v>1196</v>
      </c>
      <c r="G227" s="17" t="s">
        <v>817</v>
      </c>
      <c r="H227" s="11" t="s">
        <v>786</v>
      </c>
    </row>
    <row r="228" customFormat="false" ht="24" hidden="false" customHeight="true" outlineLevel="0" collapsed="false">
      <c r="A228" s="11" t="s">
        <v>42</v>
      </c>
      <c r="B228" s="8" t="s">
        <v>721</v>
      </c>
      <c r="C228" s="11" t="s">
        <v>219</v>
      </c>
      <c r="D228" s="11" t="s">
        <v>183</v>
      </c>
      <c r="E228" s="11" t="s">
        <v>661</v>
      </c>
      <c r="F228" s="11" t="s">
        <v>1197</v>
      </c>
      <c r="G228" s="17" t="s">
        <v>819</v>
      </c>
      <c r="H228" s="11" t="s">
        <v>786</v>
      </c>
    </row>
    <row r="229" customFormat="false" ht="158.25" hidden="false" customHeight="true" outlineLevel="0" collapsed="false">
      <c r="A229" s="11" t="s">
        <v>42</v>
      </c>
      <c r="B229" s="8" t="s">
        <v>722</v>
      </c>
      <c r="C229" s="11" t="s">
        <v>723</v>
      </c>
      <c r="D229" s="11" t="s">
        <v>183</v>
      </c>
      <c r="E229" s="11" t="s">
        <v>724</v>
      </c>
      <c r="F229" s="11" t="s">
        <v>1198</v>
      </c>
      <c r="G229" s="17" t="s">
        <v>1199</v>
      </c>
      <c r="H229" s="11" t="s">
        <v>781</v>
      </c>
    </row>
    <row r="230" customFormat="false" ht="48.75" hidden="false" customHeight="true" outlineLevel="0" collapsed="false">
      <c r="A230" s="11" t="s">
        <v>42</v>
      </c>
      <c r="B230" s="8" t="s">
        <v>725</v>
      </c>
      <c r="C230" s="11" t="s">
        <v>726</v>
      </c>
      <c r="D230" s="11" t="s">
        <v>183</v>
      </c>
      <c r="E230" s="11" t="s">
        <v>727</v>
      </c>
      <c r="F230" s="11" t="s">
        <v>1200</v>
      </c>
      <c r="G230" s="17" t="s">
        <v>1201</v>
      </c>
      <c r="H230" s="11" t="s">
        <v>786</v>
      </c>
    </row>
    <row r="231" customFormat="false" ht="72.75" hidden="false" customHeight="true" outlineLevel="0" collapsed="false">
      <c r="A231" s="11" t="s">
        <v>42</v>
      </c>
      <c r="B231" s="8" t="s">
        <v>728</v>
      </c>
      <c r="C231" s="11" t="s">
        <v>729</v>
      </c>
      <c r="D231" s="11" t="s">
        <v>183</v>
      </c>
      <c r="E231" s="11" t="s">
        <v>730</v>
      </c>
      <c r="F231" s="11" t="s">
        <v>1202</v>
      </c>
      <c r="G231" s="17" t="s">
        <v>1203</v>
      </c>
      <c r="H231" s="11" t="s">
        <v>781</v>
      </c>
    </row>
    <row r="232" customFormat="false" ht="60.75" hidden="false" customHeight="true" outlineLevel="0" collapsed="false">
      <c r="A232" s="11" t="s">
        <v>42</v>
      </c>
      <c r="B232" s="8" t="s">
        <v>731</v>
      </c>
      <c r="C232" s="11" t="s">
        <v>732</v>
      </c>
      <c r="D232" s="11" t="s">
        <v>183</v>
      </c>
      <c r="E232" s="11" t="s">
        <v>733</v>
      </c>
      <c r="F232" s="11" t="s">
        <v>1204</v>
      </c>
      <c r="G232" s="17" t="s">
        <v>1205</v>
      </c>
      <c r="H232" s="11" t="s">
        <v>794</v>
      </c>
    </row>
    <row r="233" customFormat="false" ht="48.75" hidden="false" customHeight="true" outlineLevel="0" collapsed="false">
      <c r="A233" s="11" t="s">
        <v>42</v>
      </c>
      <c r="B233" s="8" t="s">
        <v>734</v>
      </c>
      <c r="C233" s="11" t="s">
        <v>223</v>
      </c>
      <c r="D233" s="11" t="s">
        <v>735</v>
      </c>
      <c r="E233" s="11" t="s">
        <v>736</v>
      </c>
      <c r="F233" s="11" t="s">
        <v>1206</v>
      </c>
      <c r="G233" s="17" t="s">
        <v>1207</v>
      </c>
      <c r="H233" s="11" t="s">
        <v>786</v>
      </c>
    </row>
    <row r="234" customFormat="false" ht="36" hidden="false" customHeight="true" outlineLevel="0" collapsed="false">
      <c r="A234" s="11" t="s">
        <v>42</v>
      </c>
      <c r="B234" s="8" t="s">
        <v>737</v>
      </c>
      <c r="C234" s="11" t="s">
        <v>738</v>
      </c>
      <c r="D234" s="11" t="s">
        <v>183</v>
      </c>
      <c r="E234" s="11" t="s">
        <v>739</v>
      </c>
      <c r="F234" s="11" t="s">
        <v>1208</v>
      </c>
      <c r="G234" s="17" t="s">
        <v>1209</v>
      </c>
      <c r="H234" s="11" t="s">
        <v>781</v>
      </c>
    </row>
    <row r="235" customFormat="false" ht="97.5" hidden="false" customHeight="true" outlineLevel="0" collapsed="false">
      <c r="A235" s="11" t="s">
        <v>42</v>
      </c>
      <c r="B235" s="8" t="s">
        <v>740</v>
      </c>
      <c r="C235" s="11" t="s">
        <v>225</v>
      </c>
      <c r="D235" s="11" t="s">
        <v>741</v>
      </c>
      <c r="E235" s="11" t="s">
        <v>742</v>
      </c>
      <c r="F235" s="11" t="s">
        <v>1210</v>
      </c>
      <c r="G235" s="17" t="s">
        <v>1211</v>
      </c>
      <c r="H235" s="11" t="s">
        <v>789</v>
      </c>
    </row>
    <row r="236" customFormat="false" ht="60.75" hidden="false" customHeight="true" outlineLevel="0" collapsed="false">
      <c r="A236" s="11" t="s">
        <v>42</v>
      </c>
      <c r="B236" s="8" t="s">
        <v>743</v>
      </c>
      <c r="C236" s="11" t="s">
        <v>311</v>
      </c>
      <c r="D236" s="11" t="s">
        <v>744</v>
      </c>
      <c r="E236" s="11" t="s">
        <v>745</v>
      </c>
      <c r="F236" s="11" t="s">
        <v>1212</v>
      </c>
      <c r="G236" s="17" t="s">
        <v>1213</v>
      </c>
      <c r="H236" s="11" t="s">
        <v>789</v>
      </c>
    </row>
    <row r="237" customFormat="false" ht="36" hidden="false" customHeight="true" outlineLevel="0" collapsed="false">
      <c r="A237" s="11" t="s">
        <v>42</v>
      </c>
      <c r="B237" s="8" t="s">
        <v>746</v>
      </c>
      <c r="C237" s="11" t="s">
        <v>747</v>
      </c>
      <c r="D237" s="11" t="s">
        <v>183</v>
      </c>
      <c r="E237" s="11" t="s">
        <v>748</v>
      </c>
      <c r="F237" s="11" t="s">
        <v>1214</v>
      </c>
      <c r="G237" s="17" t="s">
        <v>1215</v>
      </c>
      <c r="H237" s="11" t="s">
        <v>797</v>
      </c>
    </row>
    <row r="238" customFormat="false" ht="72.75" hidden="false" customHeight="true" outlineLevel="0" collapsed="false">
      <c r="A238" s="11" t="s">
        <v>42</v>
      </c>
      <c r="B238" s="8" t="s">
        <v>749</v>
      </c>
      <c r="C238" s="11" t="s">
        <v>750</v>
      </c>
      <c r="D238" s="11" t="s">
        <v>183</v>
      </c>
      <c r="E238" s="11" t="s">
        <v>751</v>
      </c>
      <c r="F238" s="11" t="s">
        <v>1216</v>
      </c>
      <c r="G238" s="17" t="s">
        <v>1217</v>
      </c>
      <c r="H238" s="11" t="s">
        <v>789</v>
      </c>
    </row>
    <row r="239" customFormat="false" ht="109.5" hidden="false" customHeight="true" outlineLevel="0" collapsed="false">
      <c r="A239" s="11" t="s">
        <v>42</v>
      </c>
      <c r="B239" s="8" t="s">
        <v>752</v>
      </c>
      <c r="C239" s="11" t="s">
        <v>753</v>
      </c>
      <c r="D239" s="11" t="s">
        <v>183</v>
      </c>
      <c r="E239" s="11" t="s">
        <v>754</v>
      </c>
      <c r="F239" s="11" t="s">
        <v>1218</v>
      </c>
      <c r="G239" s="17" t="s">
        <v>1219</v>
      </c>
      <c r="H239" s="11" t="s">
        <v>789</v>
      </c>
    </row>
    <row r="240" customFormat="false" ht="36" hidden="false" customHeight="true" outlineLevel="0" collapsed="false">
      <c r="A240" s="11" t="s">
        <v>42</v>
      </c>
      <c r="B240" s="8" t="s">
        <v>755</v>
      </c>
      <c r="C240" s="11" t="s">
        <v>228</v>
      </c>
      <c r="D240" s="11" t="s">
        <v>183</v>
      </c>
      <c r="E240" s="11" t="s">
        <v>181</v>
      </c>
      <c r="F240" s="11" t="s">
        <v>1220</v>
      </c>
      <c r="G240" s="17" t="s">
        <v>1221</v>
      </c>
      <c r="H240" s="11" t="s">
        <v>781</v>
      </c>
    </row>
    <row r="241" customFormat="false" ht="72.75" hidden="false" customHeight="true" outlineLevel="0" collapsed="false">
      <c r="A241" s="11" t="s">
        <v>42</v>
      </c>
      <c r="B241" s="8" t="s">
        <v>756</v>
      </c>
      <c r="C241" s="11" t="s">
        <v>757</v>
      </c>
      <c r="D241" s="11" t="s">
        <v>758</v>
      </c>
      <c r="E241" s="11" t="s">
        <v>759</v>
      </c>
      <c r="F241" s="11" t="s">
        <v>1222</v>
      </c>
      <c r="G241" s="17" t="s">
        <v>1223</v>
      </c>
      <c r="H241" s="11" t="s">
        <v>797</v>
      </c>
    </row>
    <row r="242" customFormat="false" ht="207" hidden="false" customHeight="true" outlineLevel="0" collapsed="false">
      <c r="A242" s="11" t="s">
        <v>42</v>
      </c>
      <c r="B242" s="8" t="s">
        <v>760</v>
      </c>
      <c r="C242" s="11" t="s">
        <v>241</v>
      </c>
      <c r="D242" s="11" t="s">
        <v>761</v>
      </c>
      <c r="E242" s="11" t="s">
        <v>762</v>
      </c>
      <c r="F242" s="11" t="s">
        <v>1224</v>
      </c>
      <c r="G242" s="17" t="s">
        <v>1225</v>
      </c>
      <c r="H242" s="11" t="s">
        <v>789</v>
      </c>
    </row>
    <row r="243" customFormat="false" ht="72.75" hidden="false" customHeight="true" outlineLevel="0" collapsed="false">
      <c r="A243" s="11" t="s">
        <v>42</v>
      </c>
      <c r="B243" s="8" t="s">
        <v>763</v>
      </c>
      <c r="C243" s="11" t="s">
        <v>764</v>
      </c>
      <c r="D243" s="11" t="s">
        <v>765</v>
      </c>
      <c r="E243" s="11" t="s">
        <v>766</v>
      </c>
      <c r="F243" s="11" t="s">
        <v>1226</v>
      </c>
      <c r="G243" s="17" t="s">
        <v>1227</v>
      </c>
      <c r="H243" s="11" t="s">
        <v>789</v>
      </c>
    </row>
    <row r="244" customFormat="false" ht="84.75" hidden="false" customHeight="true" outlineLevel="0" collapsed="false">
      <c r="A244" s="11" t="s">
        <v>42</v>
      </c>
      <c r="B244" s="8" t="s">
        <v>767</v>
      </c>
      <c r="C244" s="11" t="s">
        <v>252</v>
      </c>
      <c r="D244" s="11" t="s">
        <v>768</v>
      </c>
      <c r="E244" s="11" t="s">
        <v>769</v>
      </c>
      <c r="F244" s="11" t="s">
        <v>1228</v>
      </c>
      <c r="G244" s="17" t="s">
        <v>1229</v>
      </c>
      <c r="H244" s="11" t="s">
        <v>789</v>
      </c>
    </row>
    <row r="245" customFormat="false" ht="48.75" hidden="false" customHeight="true" outlineLevel="0" collapsed="false">
      <c r="A245" s="11" t="s">
        <v>42</v>
      </c>
      <c r="B245" s="8" t="s">
        <v>770</v>
      </c>
      <c r="C245" s="11" t="s">
        <v>771</v>
      </c>
      <c r="D245" s="11" t="s">
        <v>772</v>
      </c>
      <c r="E245" s="11" t="s">
        <v>773</v>
      </c>
      <c r="F245" s="11" t="s">
        <v>1230</v>
      </c>
      <c r="G245" s="17" t="s">
        <v>1231</v>
      </c>
      <c r="H245" s="11" t="s">
        <v>786</v>
      </c>
    </row>
  </sheetData>
  <autoFilter ref="A4:H245"/>
  <conditionalFormatting sqref="E5:E245">
    <cfRule type="expression" priority="2" aboveAverage="0" equalAverage="0" bottom="0" percent="0" rank="0" text="" dxfId="9">
      <formula>ISNUMBER(SEARCH("GA",E5))</formula>
    </cfRule>
    <cfRule type="expression" priority="3" aboveAverage="0" equalAverage="0" bottom="0" percent="0" rank="0" text="" dxfId="10">
      <formula>ISNUMBER(SEARCH("Beta",E5))</formula>
    </cfRule>
    <cfRule type="expression" priority="4" aboveAverage="0" equalAverage="0" bottom="0" percent="0" rank="0" text="" dxfId="11">
      <formula>ISNUMBER(SEARCH("Marketing",E5))</formula>
    </cfRule>
    <cfRule type="expression" priority="5" aboveAverage="0" equalAverage="0" bottom="0" percent="0" rank="0" text="" dxfId="12">
      <formula>LEFT(E5,4)="None"</formula>
    </cfRule>
  </conditionalFormatting>
  <hyperlinks>
    <hyperlink ref="G5" r:id="rId1" display="https://www.aikido.dev/features/autofix"/>
    <hyperlink ref="G6" r:id="rId2" display="https://amplify.security/"/>
    <hyperlink ref="G7" r:id="rId3" display="https://www.arnica.io/"/>
    <hyperlink ref="G8" r:id="rId4" display="https://www.itsecurityguru.org/2026/07/14/black-duck-adds-ai-powered-triage-and-cra-ready-checks-to-coverity-static-analysis/"/>
    <hyperlink ref="G9" r:id="rId5" display="https://www.globenewswire.com/news-release/2026/03/16/3256259/0/en/Checkmarx-Redefines-Application-Security-for-the-Age-of-Agentic-Development.html"/>
    <hyperlink ref="G10" r:id="rId6" display="https://www.coderabbit.ai/security"/>
    <hyperlink ref="G11" r:id="rId7" display="https://docs.contrastsecurity.com/en/contrast-ai-smartfix.html"/>
    <hyperlink ref="G12" r:id="rId8" display="https://corgea.com/auto-triage"/>
    <hyperlink ref="G13" r:id="rId9" display="https://cursor.com/changelog"/>
    <hyperlink ref="G14" r:id="rId10" display="https://www.dryrun.security/product/sast"/>
    <hyperlink ref="G15" r:id="rId11" display="https://www.prnewswire.com/news-releases/endor-labs-debuts-ai-native-multi-modal-sast-marking-a-new-era-in-code-flaw-detection-302619629.html"/>
    <hyperlink ref="G16" r:id="rId12" display="https://github.blog/changelog/2026-10-15-agentic-autofix-for-code-scanning-alerts-general-availability"/>
    <hyperlink ref="G17" r:id="rId13" display="https://www.greptile.com/content-library/best-security-code-review-tools"/>
    <hyperlink ref="G18" r:id="rId14" display="https://www.hcl-software.com/appscan/products/rapidfix"/>
    <hyperlink ref="G19" r:id="rId15" display="https://www.jit.io/"/>
    <hyperlink ref="G20" r:id="rId16" display="https://www.kodemsecurity.com/platform/sast"/>
    <hyperlink ref="G21" r:id="rId17" display="https://www.mobb.ai/"/>
    <hyperlink ref="G22" r:id="rId18" display="https://www.nullify.ai/"/>
    <hyperlink ref="G23" r:id="rId19" display="https://blogs.opentext.com/opentext-fortify-remediation-aviator-audit-every-finding-fix-whats-real/"/>
    <hyperlink ref="G24" r:id="rId20" display="https://www.pixee.ai/blog/veracode-alternatives"/>
    <hyperlink ref="G25" r:id="rId21" display="https://docs.snyk.io/scan-fix-and-prevent/scan-with-snyk/snyk-code/manage-code-vulnerabilities/fix-code-vulnerabilities-automatically"/>
    <hyperlink ref="G26" r:id="rId22" display="https://www.helpnetsecurity.com/2026/03/18/veracode-fix-for-sca/"/>
    <hyperlink ref="G27" r:id="rId23" display="https://zeropath.com/products/sast"/>
    <hyperlink ref="G28" r:id="rId24" display="https://github.com/PyCQA/bandit"/>
    <hyperlink ref="G29" r:id="rId25" display="https://www.prnewswire.com/news-releases/cycode-releases-agentic-code-scanning-and-attack-chaining-post-mythos-eras-answer-to-cost-vs-precision-tradeoff-302866093.html"/>
    <hyperlink ref="G30" r:id="rId26" display="https://brakemanscanner.org/"/>
    <hyperlink ref="G31" r:id="rId27" display="https://docs.gitlab.com/user/application_security/sast/gitlab_advanced_sast/"/>
    <hyperlink ref="G32" r:id="rId28" display="https://github.com/securego/gosec"/>
    <hyperlink ref="G33" r:id="rId29" display="https://www.opengrep.dev/"/>
    <hyperlink ref="G34" r:id="rId30" display="https://github.com/pmd/pmd/releases"/>
    <hyperlink ref="G35" r:id="rId31" display="https://semgrep.dev/blog/2025/announcing-ai-noise-filtering-and-triage-memories/"/>
    <hyperlink ref="G36" r:id="rId32" display="https://www.sonarsource.com/company/press-releases/sonarqube-server-2026-5-lta-release/"/>
    <hyperlink ref="G37" r:id="rId33" display="https://find-sec-bugs.github.io/"/>
    <hyperlink ref="G38" r:id="rId34" display="https://www.aikido.dev/pricing"/>
    <hyperlink ref="G39" r:id="rId35" display="https://techcrunch.com/2026/09/01/air-raises-50m-to-help-companies-vet-the-skills-and-add-ons-ai-agents-use/"/>
    <hyperlink ref="G40" r:id="rId36" display="https://www.arnica.io/blog/reachable-open-source-risk-prioritization"/>
    <hyperlink ref="G41" r:id="rId37" display="https://www.nasdaq.com/press-release/black-duck-sca-introduces-ai-model-risk-scanning-enhanced-software-security-insights"/>
    <hyperlink ref="G42" r:id="rId38" display="https://www.chainguard.dev/unchained/chainguard-is-named-a-leader-in-the-2026-gartner-magic-quadrant-for-software-supply-chain-security"/>
    <hyperlink ref="G43" r:id="rId39" display="https://checkmarx.com/checkmarx-one-developer-assist/"/>
    <hyperlink ref="G44" r:id="rId40" display="https://cycode.com/blog/bulk-ai-exploitability-analysis/"/>
    <hyperlink ref="G45" r:id="rId41" display="https://siliconangle.com/2026/08/27/vulnerability-free-container-image-startup-echo-acquires-minimus/"/>
    <hyperlink ref="G46" r:id="rId42" display="https://www.endorlabs.com/learn/endor-labs-is-a-visionary-in-the-2026-gartner-r-magic-quadrant-tm-for-software-supply-chain-security"/>
    <hyperlink ref="G47" r:id="rId43" display="https://fossa.com/pricing/"/>
    <hyperlink ref="G48" r:id="rId44" display="https://github.com/resources/insights/evolving-github-advanced-security"/>
    <hyperlink ref="G49" r:id="rId45" display="https://www.hcl-software.com/appscan"/>
    <hyperlink ref="G50" r:id="rId46" display="https://jfrog.com/press-room/jfrog-embeds-security-into-the-agentic-workforce/"/>
    <hyperlink ref="G51" r:id="rId47" display="https://konvu.com/blog/from-vulnerability-finding-to-exploit-proof"/>
    <hyperlink ref="G52" r:id="rId48" display="https://www.aol.com/articles/lineaje-recognized-visionary-2026-gartner-154300000.html"/>
    <hyperlink ref="G53" r:id="rId49" display="https://docs.mend.io/platform/latest/mend-platform-release-notes"/>
    <hyperlink ref="G54" r:id="rId50" display="https://www.merito.com/vendors/opentext/core-open-source-select"/>
    <hyperlink ref="G55" r:id="rId51" display="https://www.veracode.com/blog/introducing-veracode-package-firewall/"/>
    <hyperlink ref="G56" r:id="rId52" display="https://scantist.com/pricing"/>
    <hyperlink ref="G57" r:id="rId53" display="https://semgrep.dev/docs/release-notes/march-2026"/>
    <hyperlink ref="G58" r:id="rId54" display="https://docs.snyk.io/whats-new"/>
    <hyperlink ref="G59" r:id="rId55" display="https://socket.dev/pricing"/>
    <hyperlink ref="G60" r:id="rId56" display="https://www.infoq.com/news/2026/03/sonatype-guide-safety-mcp-server"/>
    <hyperlink ref="G61" r:id="rId57" display="https://www.veracode.com/products/veracode-package-firewall/"/>
    <hyperlink ref="G62" r:id="rId58" display="https://www.capterra.co.uk/software/1043740/xygeni"/>
    <hyperlink ref="G63" r:id="rId59" display="https://about.gitlab.com/direction/supply-chain/"/>
    <hyperlink ref="G64" r:id="rId60" display="https://blog.google/security/announcing-osv-scanner-v2-vulnerability/"/>
    <hyperlink ref="G65" r:id="rId61" display="https://github.com/anchore/grype/releases"/>
    <hyperlink ref="G66" r:id="rId62" display="https://www.businesswire.com/news/home/20250617157201/en/Introducing-Kusari-Inspector-Empowering-Developers-with-Real-Time-Software-Security-Insights-in-Every-Pull-Request"/>
    <hyperlink ref="G67" r:id="rId63" display="https://github.com/dependency-check/DependencyCheck"/>
    <hyperlink ref="G68" r:id="rId64" display="https://dependencytrack.org/news/dependency-track-5-0/"/>
    <hyperlink ref="G69" r:id="rId65" display="https://safedep.io/"/>
    <hyperlink ref="G70" r:id="rId66" display="https://github.com/aquasecurity/trivy-mcp"/>
    <hyperlink ref="G71" r:id="rId67" display="https://www.aikido.dev/features/autofix"/>
    <hyperlink ref="G72" r:id="rId68" display="https://awards.thehackernews.com/winners/2026/arnica-agentic-code-security/"/>
    <hyperlink ref="G73" r:id="rId69" display="https://www.blackduck.com/blog/polaris-ai-security-updates-april-2026.html"/>
    <hyperlink ref="G74" r:id="rId70" display="https://checkmarx.com/product/secrets-detection/"/>
    <hyperlink ref="G75" r:id="rId71" display="https://www.cremit.io/product"/>
    <hyperlink ref="G76" r:id="rId72" display="https://www.globenewswire.com/news-release/2026/09/23/3367485/0/en/cycode-extends-its-adlc-security-capabilities-to-developers-workstations-stopping-software-supply-chain-attacks-before-they-start.html"/>
    <hyperlink ref="G77" r:id="rId73" display="https://www.sailpoint.com/press-releases/sailpoint-announces-intent-to-acquire-entro-security"/>
    <hyperlink ref="G78" r:id="rId74" display="https://docs.gitguardian.com/releases/saas/2026/09/07/changelog"/>
    <hyperlink ref="G79" r:id="rId75" display="https://github.blog/changelog/2026-10-07-purpose-built-model-for-leaked-secret-detection/"/>
    <hyperlink ref="G80" r:id="rId76" display="https://www.hcl-software.com/blog/appscan/hcl-appscan-360-v2.1-ai-application-security-with-faster-testing-and-automated-fixes"/>
    <hyperlink ref="G81" r:id="rId77" display="https://www.hashicorp.com/en/blog/hcp-vault-radar-agent-local-secret-scanning-at-enterprise-scale"/>
    <hyperlink ref="G82" r:id="rId78" display="https://www.jit.io/resources/jit-security/introducing-jits-agentic-appsec-platform-that-gets-real-work-done"/>
    <hyperlink ref="G83" r:id="rId79" display="https://www.legitsecurity.com/"/>
    <hyperlink ref="G84" r:id="rId80" display="https://www.nightfall.ai/products/mcp-security"/>
    <hyperlink ref="G85" r:id="rId81" display="https://blogs.opentext.com/opentext-fortify-remediation-aviator-audit-every-finding-fix-whats-real/"/>
    <hyperlink ref="G86" r:id="rId82" display="https://semgrep.dev/pricing/"/>
    <hyperlink ref="G87" r:id="rId83" display="https://snyk.io/blog/snyk-secrets/"/>
    <hyperlink ref="G88" r:id="rId84" display="https://appsecsanta.com/spectralops"/>
    <hyperlink ref="G89" r:id="rId85" display="https://docs.veracode.com/updates/r/c_all_static"/>
    <hyperlink ref="G90" r:id="rId86" display="https://www.helpnetsecurity.com/2026/03/19/betterleaks-open-source-secrets-scanner/"/>
    <hyperlink ref="G91" r:id="rId87" display="https://github.com/Yelp/detect-secrets"/>
    <hyperlink ref="G92" r:id="rId88" display="https://docs.gitguardian.com/releases/saas/2026/09/07/changelog"/>
    <hyperlink ref="G93" r:id="rId89" display="https://docs.gitlab.com/user/application_security/secret_detection/"/>
    <hyperlink ref="G94" r:id="rId90" display="https://github.com/gitleaks/gitleaks"/>
    <hyperlink ref="G95" r:id="rId91" display="https://trufflesecurity.com/docs/2026-september"/>
    <hyperlink ref="G96" r:id="rId92" display="https://techcrunch.com/2026/09/01/air-raises-50m-to-help-companies-vet-the-skills-and-add-ons-ai-agents-use/"/>
    <hyperlink ref="G97" r:id="rId93" display="https://anchore.com/blog/extending-supply-chain-security-to-ai-models-with-anchore-enterprise-v6-2/"/>
    <hyperlink ref="G98" r:id="rId94" display="https://www.blackduck.com/software-composition-analysis-tools/black-duck-sca.html"/>
    <hyperlink ref="G99" r:id="rId95" display="https://vmblog.com/news/checkmarx-delivers-complete-ai-asset-visibility-and-governance-for-the-software-supply-chain-closing-the-shadow-ai-gap/"/>
    <hyperlink ref="G100" r:id="rId96" display="https://blogs.cisco.com/ai/know-your-ai-stack-introducing-ai-bom-in-cisco-ai-defense"/>
    <hyperlink ref="G101" r:id="rId97" display="https://www.cybeats.com/sbom-studio"/>
    <hyperlink ref="G102" r:id="rId98" display="https://www.endorlabs.com/learn/endor-labs-is-a-visionary-in-the-2026-gartner-r-magic-quadrant-tm-for-software-supply-chain-security"/>
    <hyperlink ref="G103" r:id="rId99" display="https://finitestate.io/platform"/>
    <hyperlink ref="G104" r:id="rId100" display="https://fossa.com/product/sbom-management/"/>
    <hyperlink ref="G105" r:id="rId101" display="https://docs.github.com/en/code-security/supply-chain-security/understanding-your-software-supply-chain/exporting-a-software-bill-of-materials-for-your-repository"/>
    <hyperlink ref="G106" r:id="rId102" display="https://help.hcl-software.com/appscan/360/2.1.0/360_whats_new.html"/>
    <hyperlink ref="G107" r:id="rId103" display="https://hiddenlayer.com/"/>
    <hyperlink ref="G108" r:id="rId104" display="https://jfrog.com/blog/jfrog-named-a-leader-in-the-gartner-magic-quadrant/"/>
    <hyperlink ref="G109" r:id="rId105" display="https://www.legitsecurity.com/"/>
    <hyperlink ref="G110" r:id="rId106" display="https://finance.yahoo.com/technology/ai/articles/lineaje-recognized-visionary-2026-gartner-154300110.html"/>
    <hyperlink ref="G111" r:id="rId107" display="https://www.manifestcyber.com/press/first-ai-risk-transparency-solution"/>
    <hyperlink ref="G112" r:id="rId108" display="https://www.mend.io/mend-ai/"/>
    <hyperlink ref="G113" r:id="rId109" display="https://noma.security/"/>
    <hyperlink ref="G114" r:id="rId110" display="https://www.oligo.security/"/>
    <hyperlink ref="G115" r:id="rId111" display="https://www.opentext.com/products/application-security-aviator"/>
    <hyperlink ref="G116" r:id="rId112" display="https://www.paloaltonetworks.com/company/press/2025/palo-alto-networks-completes-acquisition-of-protect-ai"/>
    <hyperlink ref="G117" r:id="rId113" display="https://prompt.security/blog/prompt-security-sentinelone-a-new-chapter-begins"/>
    <hyperlink ref="G118" r:id="rId114" display="https://safeguard.sh/"/>
    <hyperlink ref="G119" r:id="rId115" display="https://scribesecurity.com/"/>
    <hyperlink ref="G120" r:id="rId116" display="https://docs.snyk.io/developer-tools/snyk-cli/commands/aibom.md"/>
    <hyperlink ref="G121" r:id="rId117" display="https://www.sonatype.com/products/sbom-manager"/>
    <hyperlink ref="G122" r:id="rId118" display="https://docs.veracode.com/updates/r/Veracode_CLI_Updates"/>
    <hyperlink ref="G123" r:id="rId119" display="https://zeropath.com/products/aibom"/>
    <hyperlink ref="G124" r:id="rId120" display="https://github.com/msaad00/agent-bom"/>
    <hyperlink ref="G125" r:id="rId121" display="https://github.com/bomctl/bomctl"/>
    <hyperlink ref="G126" r:id="rId122" display="https://github.com/chainloop-dev/chainloop"/>
    <hyperlink ref="G127" r:id="rId123" display="https://docs.gitlab.com/user/application_security/dependency_scanning/"/>
    <hyperlink ref="G128" r:id="rId124" display="https://github.com/interlynk-io/sbomqs"/>
    <hyperlink ref="G129" r:id="rId125" display="https://www.kusari.dev/"/>
    <hyperlink ref="G130" r:id="rId126" display="https://github.com/microsoft/sbom-tool"/>
    <hyperlink ref="G131" r:id="rId127" display="https://github.com/aetheris-ai/aibom-generator"/>
    <hyperlink ref="G132" r:id="rId128" display="https://github.com/CycloneDX/cdxgen/releases/latest"/>
    <hyperlink ref="G133" r:id="rId129" display="https://docs.dependencytrack.org/changelog/"/>
    <hyperlink ref="G134" r:id="rId130" display="https://github.com/eBay/sbom-scorecard"/>
    <hyperlink ref="G135" r:id="rId131" display="https://spdx.github.io/spdx-spec/v3.0.1/model/AI/AI/"/>
    <hyperlink ref="G136" r:id="rId132" display="https://anchore.com/blog/extending-supply-chain-security-to-ai-models-with-anchore-enterprise-v6-2/"/>
    <hyperlink ref="G137" r:id="rId133" display="https://trivy.dev/latest/docs/supply-chain/vex/"/>
    <hyperlink ref="G138" r:id="rId134" display="https://github.com/awslabs/threat-composer/releases"/>
    <hyperlink ref="G139" r:id="rId135" display="https://www.aptori.com/"/>
    <hyperlink ref="G140" r:id="rId136" display="https://www.aristiun.com/automated-threat-modeling-using-ai"/>
    <hyperlink ref="G141" r:id="rId137" display="https://www.devarmor.com/"/>
    <hyperlink ref="G142" r:id="rId138" display="https://www.securitycompass.com/devici/ai-infusion/"/>
    <hyperlink ref="G143" r:id="rId139" display="https://www.iriusrisk.com/ai-threat-modeling"/>
    <hyperlink ref="G144" r:id="rId140" display="https://xvnpw.github.io/posts/scaling-threat-modeling-with-ai/"/>
    <hyperlink ref="G145" r:id="rId141" display="https://www.securitycompass.com/devici/ai-infusion/"/>
    <hyperlink ref="G146" r:id="rId142" display="https://learn.microsoft.com/en-us/security/engineering/threat-modeling-aiml"/>
    <hyperlink ref="G147" r:id="rId143" display="https://learn.microsoft.com/en-us/security/engineering/threat-modeling-aiml"/>
    <hyperlink ref="G148" r:id="rId144" display="https://learn.microsoft.com/en-us/azure/security/develop/threat-modeling-tool-releases"/>
    <hyperlink ref="G149" r:id="rId145" display="https://github.com/mrwadams/stride-gpt"/>
    <hyperlink ref="G150" r:id="rId146" display="https://www.nist.gov/itl/ai-risk-management-framework"/>
    <hyperlink ref="G151" r:id="rId147" display="https://www.oplane.com/"/>
    <hyperlink ref="G152" r:id="rId148" display="https://genai.owasp.org/initiatives/agentic-security-initiative/"/>
    <hyperlink ref="G153" r:id="rId149" display="https://owaspai.org/"/>
    <hyperlink ref="G154" r:id="rId150" display="https://owasp.org/www-project-cornucopia/"/>
    <hyperlink ref="G155" r:id="rId151" display="https://genai.owasp.org/"/>
    <hyperlink ref="G156" r:id="rId152" display="https://www.primesec.ai/ai-security-architect"/>
    <hyperlink ref="G157" r:id="rId153" display="https://www.securitycompass.com/sdelements/navigator/"/>
    <hyperlink ref="G158" r:id="rId154" display="https://foreseeti.com/"/>
    <hyperlink ref="G159" r:id="rId155" display="https://seezo.io/"/>
    <hyperlink ref="G160" r:id="rId156" display="https://shostack.org/resources/threat-modeling"/>
    <hyperlink ref="G161" r:id="rId157" display="https://blog.secureflag.com/2026/01/13/code-repo-to-threatcanvas/"/>
    <hyperlink ref="G162" r:id="rId158" display="https://www.threatmodeler.ai/products/cloudmodeler"/>
    <hyperlink ref="G163" r:id="rId159" display="https://www.tidalcyber.com/"/>
    <hyperlink ref="G164" r:id="rId160" display="https://tutamantic.com/"/>
    <hyperlink ref="G165" r:id="rId161" display="https://github.com/cairis-platform/cairis"/>
    <hyperlink ref="G166" r:id="rId162" display="https://github.com/OWASP/pytm"/>
    <hyperlink ref="G167" r:id="rId163" display="https://owasp.org/www-project-threat-dragon/"/>
    <hyperlink ref="G168" r:id="rId164" display="https://www.precogly.org/"/>
    <hyperlink ref="G169" r:id="rId165" display="https://developers.redhat.com/articles/2026/09/21/ai-threat-modeling-shouldnt-be-a-bottleneck-so-we-open-sourced-ours"/>
    <hyperlink ref="G170" r:id="rId166" display="https://github.com/mrwadams/stride-gpt"/>
    <hyperlink ref="G171" r:id="rId167" display="https://github.com/Threagile/threagile"/>
    <hyperlink ref="G172" r:id="rId168" display="https://github.com/awslabs/threat-composer/releases"/>
    <hyperlink ref="G173" r:id="rId169" display="https://github.com/DataDog/threatest"/>
    <hyperlink ref="G174" r:id="rId170" display="https://github.com/threatspec/threatspec"/>
    <hyperlink ref="G175" r:id="rId171" display="https://www.helpnetsecurity.com/2026/04/27/aptori-autonomous-offensive-testing-capabilities/"/>
    <hyperlink ref="G176" r:id="rId172" display="https://www.armorcode.com/platform"/>
    <hyperlink ref="G177" r:id="rId173" display="https://blog.convisoappsec.com/en/automation-of-security-requirements-with-the-conviso-platform-api/"/>
    <hyperlink ref="G178" r:id="rId174" display="https://www.securitycompass.com/devici/"/>
    <hyperlink ref="G179" r:id="rId175" display="https://www.ibm.com/products/requirements-management"/>
    <hyperlink ref="G180" r:id="rId176" display="https://www.iriusrisk.com/documentation/use-our-ai-assistant-jeff"/>
    <hyperlink ref="G181" r:id="rId177" display="https://www.jamasoftware.com/platform/jama-connect/"/>
    <hyperlink ref="G182" r:id="rId178" display="https://www.getxray.app/"/>
    <hyperlink ref="G183" r:id="rId179" display="https://appsecsanta.com/jit"/>
    <hyperlink ref="G184" r:id="rId180" display="https://www.invicti.com/blog/news/invicti-acquires-kondukto-to-deliver-proof-based-aspm"/>
    <hyperlink ref="G185" r:id="rId181" display="https://cheatsheetseries.owasp.org/"/>
    <hyperlink ref="G186" r:id="rId182" display="https://medium.com/@clintcan/building-an-owasp-asvs-mcp-server-eb56ace0ceb8"/>
    <hyperlink ref="G187" r:id="rId183" display="https://mas.owasp.org/"/>
    <hyperlink ref="G188" r:id="rId184" display="https://owaspsamm.org/blog/"/>
    <hyperlink ref="G189" r:id="rId185" display="https://www.primesec.ai/resources/prime-security-is-now-ga"/>
    <hyperlink ref="G190" r:id="rId186" display="https://www.ycombinator.com/companies/remy-security"/>
    <hyperlink ref="G191" r:id="rId187" display="https://requirementone.com/"/>
    <hyperlink ref="G192" r:id="rId188" display="https://sammy.codific.com/"/>
    <hyperlink ref="G193" r:id="rId189" display="https://docs.sdelements.com/master/guide/docs/release_notes/"/>
    <hyperlink ref="G194" r:id="rId190" display="https://www.helpnetsecurity.com/2026/03/17/secure-code-warrior-trust-agent-ai-governance/"/>
    <hyperlink ref="G195" r:id="rId191" display="https://seezo.io/"/>
    <hyperlink ref="G196" r:id="rId192" display="https://www.helpnetsecurity.com/2026/06/26/threatmodeler-introduces-nexus-to-automate-threat-modeling-with-ai-governance/"/>
    <hyperlink ref="G197" r:id="rId193" display="https://checkmarx.com/press-releases/checkmarx-acquires-tromzo-to-launch-new-era-of-application-security/"/>
    <hyperlink ref="G198" r:id="rId194" display="https://docs.gitlab.com/user/application_security/"/>
    <hyperlink ref="G199" r:id="rId195" display="https://medium.com/@clintcan/building-an-owasp-asvs-mcp-server-eb56ace0ceb8"/>
    <hyperlink ref="G200" r:id="rId196" display="https://www.opencre.org/"/>
    <hyperlink ref="G201" r:id="rId197" display="https://github.com/devsecopsmaturitymodel/DevSecOps-MaturityModel"/>
    <hyperlink ref="G202" r:id="rId198" display="https://github.com/SecurityRAT/SecurityRAT"/>
    <hyperlink ref="G203" r:id="rId199" display="https://www.aikido.dev/blog/aikido-altar-open-weight-ai-sovereign-security"/>
    <hyperlink ref="G204" r:id="rId200" display="https://www.amplify.security/"/>
    <hyperlink ref="G205" r:id="rId201" display="https://apiiro.com/"/>
    <hyperlink ref="G206" r:id="rId202" display="https://aptori.com/"/>
    <hyperlink ref="G207" r:id="rId203" display="https://www.armorcode.com/"/>
    <hyperlink ref="G208" r:id="rId204" display="https://www.blackduck.com/blog/polaris-september-2026-update.html"/>
    <hyperlink ref="G209" r:id="rId205" display="https://checkmarx.com/product/developer-assist/"/>
    <hyperlink ref="G210" r:id="rId206" display="https://clover.security/news/"/>
    <hyperlink ref="G211" r:id="rId207" display="https://www.contrastsecurity.com/contrast-one"/>
    <hyperlink ref="G212" r:id="rId208" display="https://corgea.com/"/>
    <hyperlink ref="G213" r:id="rId209" display="https://www.paloaltonetworks.com/cortex/cloud/application-security"/>
    <hyperlink ref="G214" r:id="rId210" display="https://www.crowdstrike.com/en-us/platform/cloud-security/aspm/"/>
    <hyperlink ref="G215" r:id="rId211" display="https://cycode.com/"/>
    <hyperlink ref="G216" r:id="rId212" display="https://dryrun.security/"/>
    <hyperlink ref="G217" r:id="rId213" display="https://www.endorlabs.com/learn/byok-for-endor-labs"/>
    <hyperlink ref="G218" r:id="rId214" display="https://escape.tech/"/>
    <hyperlink ref="G219" r:id="rId215" display="https://github.blog/changelog/2026-10-15-agentic-autofix-for-code-scanning-alerts-general-availability"/>
    <hyperlink ref="G220" r:id="rId216" display="https://gomboc.ai/"/>
    <hyperlink ref="G221" r:id="rId217" display="https://help.hcl-software.com/appscan/ASoC/appseccloud_whats_new_cm.html"/>
    <hyperlink ref="G222" r:id="rId218" display="https://www.invicti.com/product/aspm/"/>
    <hyperlink ref="G223" r:id="rId219" display="https://jfrog.com/platform/"/>
    <hyperlink ref="G224" r:id="rId220" display="https://www.jit.io/"/>
    <hyperlink ref="G225" r:id="rId221" display="https://www.legitsecurity.com/"/>
    <hyperlink ref="G226" r:id="rId222" display="https://www.mend.io/"/>
    <hyperlink ref="G227" r:id="rId223" display="https://www.mobb.ai/"/>
    <hyperlink ref="G228" r:id="rId224" display="https://www.nullify.ai/"/>
    <hyperlink ref="G229" r:id="rId225" display="https://www.opentext.com/products/application-security"/>
    <hyperlink ref="G230" r:id="rId226" display="https://orca.security/"/>
    <hyperlink ref="G231" r:id="rId227" display="https://www.ox.security/blog/ox-security-launches-ox-cloud-ai-agent-security/"/>
    <hyperlink ref="G232" r:id="rId228" display="https://phoenix.security/phoenix-cli-and-mcp-server/"/>
    <hyperlink ref="G233" r:id="rId229" display="https://www.pixee.ai/"/>
    <hyperlink ref="G234" r:id="rId230" display="https://appsecsanta.com/aspm-tools"/>
    <hyperlink ref="G235" r:id="rId231" display="https://snyk.io/platform/"/>
    <hyperlink ref="G236" r:id="rId232" display="https://www.sonatype.com/"/>
    <hyperlink ref="G237" r:id="rId233" display="https://www.tromzo.com/"/>
    <hyperlink ref="G238" r:id="rId234" display="https://www.veracode.com/products/risk-manager/"/>
    <hyperlink ref="G239" r:id="rId235" display="https://www.wiz.io/blog/introducing-wiz-ai-sast"/>
    <hyperlink ref="G240" r:id="rId236" display="https://zeropath.com/"/>
    <hyperlink ref="G241" r:id="rId237" display="https://faradaysec.com/latest-release/"/>
    <hyperlink ref="G242" r:id="rId238" display="https://docs.gitlab.com/releases/19/gitlab-19-5-released/"/>
    <hyperlink ref="G243" r:id="rId239" display="https://github.com/DefectDojo/django-DefectDojo"/>
    <hyperlink ref="G244" r:id="rId240" display="https://semgrep.dev/"/>
    <hyperlink ref="G245" r:id="rId241" display="https://sysdig.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1232</v>
      </c>
    </row>
    <row r="2" customFormat="false" ht="15" hidden="false" customHeight="false" outlineLevel="0" collapsed="false">
      <c r="A2" s="2" t="s">
        <v>1233</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195" hidden="false" customHeight="true" outlineLevel="0" collapsed="false">
      <c r="A5" s="11" t="n">
        <v>1</v>
      </c>
      <c r="B5" s="8" t="s">
        <v>178</v>
      </c>
      <c r="C5" s="11" t="s">
        <v>179</v>
      </c>
      <c r="D5" s="17" t="s">
        <v>1250</v>
      </c>
      <c r="E5" s="9" t="s">
        <v>1251</v>
      </c>
      <c r="F5" s="11" t="s">
        <v>180</v>
      </c>
      <c r="G5" s="11" t="s">
        <v>1252</v>
      </c>
      <c r="H5" s="11" t="s">
        <v>1253</v>
      </c>
      <c r="I5" s="11" t="s">
        <v>1254</v>
      </c>
      <c r="J5" s="11" t="s">
        <v>779</v>
      </c>
      <c r="K5" s="9" t="s">
        <v>181</v>
      </c>
      <c r="L5" s="17" t="s">
        <v>780</v>
      </c>
      <c r="M5" s="11" t="s">
        <v>1255</v>
      </c>
      <c r="N5" s="11" t="s">
        <v>1256</v>
      </c>
      <c r="O5" s="11" t="s">
        <v>1257</v>
      </c>
      <c r="P5" s="11" t="s">
        <v>1258</v>
      </c>
      <c r="Q5" s="11" t="s">
        <v>1259</v>
      </c>
      <c r="R5" s="11" t="s">
        <v>1260</v>
      </c>
      <c r="S5" s="9" t="s">
        <v>1261</v>
      </c>
      <c r="T5" s="11" t="s">
        <v>1262</v>
      </c>
      <c r="U5" s="11" t="s">
        <v>1263</v>
      </c>
      <c r="V5" s="9" t="s">
        <v>781</v>
      </c>
      <c r="W5" s="11" t="s">
        <v>1264</v>
      </c>
    </row>
    <row r="6" customFormat="false" ht="146.25" hidden="false" customHeight="true" outlineLevel="0" collapsed="false">
      <c r="A6" s="11" t="n">
        <v>2</v>
      </c>
      <c r="B6" s="8" t="s">
        <v>182</v>
      </c>
      <c r="C6" s="11" t="s">
        <v>182</v>
      </c>
      <c r="D6" s="17" t="s">
        <v>783</v>
      </c>
      <c r="E6" s="9" t="s">
        <v>1251</v>
      </c>
      <c r="F6" s="11" t="s">
        <v>183</v>
      </c>
      <c r="G6" s="11" t="s">
        <v>1265</v>
      </c>
      <c r="H6" s="11" t="s">
        <v>1266</v>
      </c>
      <c r="I6" s="11" t="s">
        <v>1267</v>
      </c>
      <c r="J6" s="11" t="s">
        <v>782</v>
      </c>
      <c r="K6" s="9" t="s">
        <v>181</v>
      </c>
      <c r="L6" s="17" t="s">
        <v>783</v>
      </c>
      <c r="M6" s="11" t="s">
        <v>1268</v>
      </c>
      <c r="N6" s="11" t="s">
        <v>1269</v>
      </c>
      <c r="O6" s="11" t="s">
        <v>1270</v>
      </c>
      <c r="P6" s="11" t="s">
        <v>1271</v>
      </c>
      <c r="Q6" s="11" t="s">
        <v>1272</v>
      </c>
      <c r="R6" s="11" t="s">
        <v>1273</v>
      </c>
      <c r="S6" s="9" t="s">
        <v>233</v>
      </c>
      <c r="T6" s="11" t="s">
        <v>1274</v>
      </c>
      <c r="U6" s="11"/>
      <c r="V6" s="9" t="s">
        <v>781</v>
      </c>
      <c r="W6" s="11" t="s">
        <v>1275</v>
      </c>
    </row>
    <row r="7" customFormat="false" ht="146.25" hidden="false" customHeight="true" outlineLevel="0" collapsed="false">
      <c r="A7" s="11" t="n">
        <v>3</v>
      </c>
      <c r="B7" s="8" t="s">
        <v>184</v>
      </c>
      <c r="C7" s="11" t="s">
        <v>185</v>
      </c>
      <c r="D7" s="17" t="s">
        <v>785</v>
      </c>
      <c r="E7" s="9" t="s">
        <v>1276</v>
      </c>
      <c r="F7" s="11" t="s">
        <v>183</v>
      </c>
      <c r="G7" s="11" t="s">
        <v>1277</v>
      </c>
      <c r="H7" s="11" t="s">
        <v>1278</v>
      </c>
      <c r="I7" s="11" t="s">
        <v>1279</v>
      </c>
      <c r="J7" s="11" t="s">
        <v>784</v>
      </c>
      <c r="K7" s="9" t="s">
        <v>181</v>
      </c>
      <c r="L7" s="17" t="s">
        <v>785</v>
      </c>
      <c r="M7" s="11" t="s">
        <v>1280</v>
      </c>
      <c r="N7" s="11" t="s">
        <v>1281</v>
      </c>
      <c r="O7" s="11" t="s">
        <v>1270</v>
      </c>
      <c r="P7" s="11" t="s">
        <v>1282</v>
      </c>
      <c r="Q7" s="11" t="s">
        <v>1283</v>
      </c>
      <c r="R7" s="11" t="s">
        <v>1273</v>
      </c>
      <c r="S7" s="9" t="s">
        <v>233</v>
      </c>
      <c r="T7" s="11" t="s">
        <v>1284</v>
      </c>
      <c r="U7" s="11"/>
      <c r="V7" s="9" t="s">
        <v>786</v>
      </c>
      <c r="W7" s="11" t="s">
        <v>1285</v>
      </c>
    </row>
    <row r="8" customFormat="false" ht="219" hidden="false" customHeight="true" outlineLevel="0" collapsed="false">
      <c r="A8" s="11" t="n">
        <v>4</v>
      </c>
      <c r="B8" s="8" t="s">
        <v>186</v>
      </c>
      <c r="C8" s="11" t="s">
        <v>187</v>
      </c>
      <c r="D8" s="17" t="s">
        <v>1286</v>
      </c>
      <c r="E8" s="9" t="s">
        <v>1251</v>
      </c>
      <c r="F8" s="11" t="s">
        <v>183</v>
      </c>
      <c r="G8" s="11" t="s">
        <v>1287</v>
      </c>
      <c r="H8" s="11" t="s">
        <v>1288</v>
      </c>
      <c r="I8" s="11" t="s">
        <v>1289</v>
      </c>
      <c r="J8" s="11" t="s">
        <v>787</v>
      </c>
      <c r="K8" s="9" t="s">
        <v>181</v>
      </c>
      <c r="L8" s="17" t="s">
        <v>788</v>
      </c>
      <c r="M8" s="11" t="s">
        <v>1290</v>
      </c>
      <c r="N8" s="11" t="s">
        <v>1291</v>
      </c>
      <c r="O8" s="11" t="s">
        <v>1292</v>
      </c>
      <c r="P8" s="11" t="s">
        <v>1293</v>
      </c>
      <c r="Q8" s="11" t="s">
        <v>1294</v>
      </c>
      <c r="R8" s="11" t="s">
        <v>1295</v>
      </c>
      <c r="S8" s="9" t="s">
        <v>1296</v>
      </c>
      <c r="T8" s="11" t="s">
        <v>1297</v>
      </c>
      <c r="U8" s="11" t="s">
        <v>1298</v>
      </c>
      <c r="V8" s="9" t="s">
        <v>789</v>
      </c>
      <c r="W8" s="11" t="s">
        <v>1299</v>
      </c>
    </row>
    <row r="9" customFormat="false" ht="231.75" hidden="false" customHeight="true" outlineLevel="0" collapsed="false">
      <c r="A9" s="11" t="n">
        <v>5</v>
      </c>
      <c r="B9" s="8" t="s">
        <v>188</v>
      </c>
      <c r="C9" s="11" t="s">
        <v>189</v>
      </c>
      <c r="D9" s="17" t="s">
        <v>1300</v>
      </c>
      <c r="E9" s="9" t="s">
        <v>1251</v>
      </c>
      <c r="F9" s="11" t="s">
        <v>183</v>
      </c>
      <c r="G9" s="11" t="s">
        <v>1301</v>
      </c>
      <c r="H9" s="11" t="s">
        <v>1302</v>
      </c>
      <c r="I9" s="11" t="s">
        <v>1303</v>
      </c>
      <c r="J9" s="11" t="s">
        <v>790</v>
      </c>
      <c r="K9" s="9" t="s">
        <v>181</v>
      </c>
      <c r="L9" s="17" t="s">
        <v>791</v>
      </c>
      <c r="M9" s="11" t="s">
        <v>1304</v>
      </c>
      <c r="N9" s="11" t="s">
        <v>1305</v>
      </c>
      <c r="O9" s="11" t="s">
        <v>1306</v>
      </c>
      <c r="P9" s="11" t="s">
        <v>1307</v>
      </c>
      <c r="Q9" s="11" t="s">
        <v>1308</v>
      </c>
      <c r="R9" s="11" t="s">
        <v>1309</v>
      </c>
      <c r="S9" s="9" t="s">
        <v>1310</v>
      </c>
      <c r="T9" s="11" t="s">
        <v>1311</v>
      </c>
      <c r="U9" s="11" t="s">
        <v>1312</v>
      </c>
      <c r="V9" s="9" t="s">
        <v>789</v>
      </c>
      <c r="W9" s="11" t="s">
        <v>1313</v>
      </c>
    </row>
    <row r="10" customFormat="false" ht="158.25" hidden="false" customHeight="true" outlineLevel="0" collapsed="false">
      <c r="A10" s="11" t="n">
        <v>6</v>
      </c>
      <c r="B10" s="8" t="s">
        <v>190</v>
      </c>
      <c r="C10" s="11" t="s">
        <v>191</v>
      </c>
      <c r="D10" s="17" t="s">
        <v>793</v>
      </c>
      <c r="E10" s="9" t="s">
        <v>1276</v>
      </c>
      <c r="F10" s="11" t="s">
        <v>183</v>
      </c>
      <c r="G10" s="11" t="s">
        <v>1314</v>
      </c>
      <c r="H10" s="11" t="s">
        <v>1315</v>
      </c>
      <c r="I10" s="11" t="s">
        <v>1316</v>
      </c>
      <c r="J10" s="11" t="s">
        <v>792</v>
      </c>
      <c r="K10" s="9" t="s">
        <v>181</v>
      </c>
      <c r="L10" s="17" t="s">
        <v>793</v>
      </c>
      <c r="M10" s="11" t="s">
        <v>1317</v>
      </c>
      <c r="N10" s="11" t="s">
        <v>1318</v>
      </c>
      <c r="O10" s="11" t="s">
        <v>1270</v>
      </c>
      <c r="P10" s="11" t="s">
        <v>1319</v>
      </c>
      <c r="Q10" s="11" t="s">
        <v>1320</v>
      </c>
      <c r="R10" s="11" t="s">
        <v>1321</v>
      </c>
      <c r="S10" s="9" t="s">
        <v>1322</v>
      </c>
      <c r="T10" s="11" t="s">
        <v>1323</v>
      </c>
      <c r="U10" s="11" t="s">
        <v>1324</v>
      </c>
      <c r="V10" s="9" t="s">
        <v>794</v>
      </c>
      <c r="W10" s="11" t="s">
        <v>1325</v>
      </c>
    </row>
    <row r="11" customFormat="false" ht="183" hidden="false" customHeight="true" outlineLevel="0" collapsed="false">
      <c r="A11" s="11" t="n">
        <v>7</v>
      </c>
      <c r="B11" s="8" t="s">
        <v>192</v>
      </c>
      <c r="C11" s="11" t="s">
        <v>193</v>
      </c>
      <c r="D11" s="17" t="s">
        <v>1326</v>
      </c>
      <c r="E11" s="9" t="s">
        <v>1251</v>
      </c>
      <c r="F11" s="11" t="s">
        <v>183</v>
      </c>
      <c r="G11" s="11" t="s">
        <v>1327</v>
      </c>
      <c r="H11" s="11" t="s">
        <v>1328</v>
      </c>
      <c r="I11" s="11" t="s">
        <v>1329</v>
      </c>
      <c r="J11" s="11" t="s">
        <v>795</v>
      </c>
      <c r="K11" s="9" t="s">
        <v>181</v>
      </c>
      <c r="L11" s="17" t="s">
        <v>796</v>
      </c>
      <c r="M11" s="11" t="s">
        <v>1330</v>
      </c>
      <c r="N11" s="11" t="s">
        <v>1331</v>
      </c>
      <c r="O11" s="11" t="s">
        <v>1332</v>
      </c>
      <c r="P11" s="11" t="s">
        <v>1333</v>
      </c>
      <c r="Q11" s="11" t="s">
        <v>1334</v>
      </c>
      <c r="R11" s="11" t="s">
        <v>1335</v>
      </c>
      <c r="S11" s="9" t="s">
        <v>1296</v>
      </c>
      <c r="T11" s="11" t="s">
        <v>1336</v>
      </c>
      <c r="U11" s="11"/>
      <c r="V11" s="9" t="s">
        <v>797</v>
      </c>
      <c r="W11" s="11" t="s">
        <v>1337</v>
      </c>
    </row>
    <row r="12" customFormat="false" ht="300" hidden="false" customHeight="true" outlineLevel="0" collapsed="false">
      <c r="A12" s="11" t="n">
        <v>8</v>
      </c>
      <c r="B12" s="8" t="s">
        <v>194</v>
      </c>
      <c r="C12" s="11" t="s">
        <v>194</v>
      </c>
      <c r="D12" s="17" t="s">
        <v>1170</v>
      </c>
      <c r="E12" s="9" t="s">
        <v>1251</v>
      </c>
      <c r="F12" s="11" t="s">
        <v>183</v>
      </c>
      <c r="G12" s="11" t="s">
        <v>1338</v>
      </c>
      <c r="H12" s="11" t="s">
        <v>1339</v>
      </c>
      <c r="I12" s="11" t="s">
        <v>1340</v>
      </c>
      <c r="J12" s="11" t="s">
        <v>798</v>
      </c>
      <c r="K12" s="9" t="s">
        <v>181</v>
      </c>
      <c r="L12" s="17" t="s">
        <v>799</v>
      </c>
      <c r="M12" s="11" t="s">
        <v>1341</v>
      </c>
      <c r="N12" s="11" t="s">
        <v>1342</v>
      </c>
      <c r="O12" s="11" t="s">
        <v>1270</v>
      </c>
      <c r="P12" s="11" t="s">
        <v>1343</v>
      </c>
      <c r="Q12" s="11" t="s">
        <v>1344</v>
      </c>
      <c r="R12" s="11" t="s">
        <v>1345</v>
      </c>
      <c r="S12" s="9" t="s">
        <v>1296</v>
      </c>
      <c r="T12" s="11" t="s">
        <v>1346</v>
      </c>
      <c r="U12" s="11" t="s">
        <v>1347</v>
      </c>
      <c r="V12" s="9" t="s">
        <v>789</v>
      </c>
      <c r="W12" s="11" t="s">
        <v>1348</v>
      </c>
    </row>
    <row r="13" customFormat="false" ht="121.5" hidden="false" customHeight="true" outlineLevel="0" collapsed="false">
      <c r="A13" s="11" t="n">
        <v>9</v>
      </c>
      <c r="B13" s="8" t="s">
        <v>195</v>
      </c>
      <c r="C13" s="11" t="s">
        <v>196</v>
      </c>
      <c r="D13" s="17" t="s">
        <v>1349</v>
      </c>
      <c r="E13" s="9" t="s">
        <v>1276</v>
      </c>
      <c r="F13" s="11" t="s">
        <v>183</v>
      </c>
      <c r="G13" s="11" t="s">
        <v>1350</v>
      </c>
      <c r="H13" s="11" t="s">
        <v>1351</v>
      </c>
      <c r="I13" s="11" t="s">
        <v>1352</v>
      </c>
      <c r="J13" s="11" t="s">
        <v>800</v>
      </c>
      <c r="K13" s="9" t="s">
        <v>181</v>
      </c>
      <c r="L13" s="17" t="s">
        <v>801</v>
      </c>
      <c r="M13" s="11" t="s">
        <v>1353</v>
      </c>
      <c r="N13" s="11" t="s">
        <v>1354</v>
      </c>
      <c r="O13" s="11" t="s">
        <v>1270</v>
      </c>
      <c r="P13" s="11" t="s">
        <v>1355</v>
      </c>
      <c r="Q13" s="11" t="s">
        <v>1356</v>
      </c>
      <c r="R13" s="11" t="s">
        <v>1357</v>
      </c>
      <c r="S13" s="9" t="s">
        <v>1296</v>
      </c>
      <c r="T13" s="11" t="s">
        <v>1358</v>
      </c>
      <c r="U13" s="11" t="s">
        <v>1359</v>
      </c>
      <c r="V13" s="9" t="s">
        <v>794</v>
      </c>
      <c r="W13" s="11" t="s">
        <v>1360</v>
      </c>
    </row>
    <row r="14" customFormat="false" ht="170.25" hidden="false" customHeight="true" outlineLevel="0" collapsed="false">
      <c r="A14" s="11" t="n">
        <v>10</v>
      </c>
      <c r="B14" s="8" t="s">
        <v>197</v>
      </c>
      <c r="C14" s="11" t="s">
        <v>197</v>
      </c>
      <c r="D14" s="17" t="s">
        <v>1361</v>
      </c>
      <c r="E14" s="9" t="s">
        <v>1251</v>
      </c>
      <c r="F14" s="11" t="s">
        <v>183</v>
      </c>
      <c r="G14" s="11" t="s">
        <v>1362</v>
      </c>
      <c r="H14" s="11" t="s">
        <v>1363</v>
      </c>
      <c r="I14" s="11" t="s">
        <v>1364</v>
      </c>
      <c r="J14" s="11" t="s">
        <v>802</v>
      </c>
      <c r="K14" s="9" t="s">
        <v>181</v>
      </c>
      <c r="L14" s="17" t="s">
        <v>803</v>
      </c>
      <c r="M14" s="11" t="s">
        <v>1365</v>
      </c>
      <c r="N14" s="11" t="s">
        <v>1366</v>
      </c>
      <c r="O14" s="11" t="s">
        <v>1270</v>
      </c>
      <c r="P14" s="11" t="s">
        <v>1367</v>
      </c>
      <c r="Q14" s="11" t="s">
        <v>1368</v>
      </c>
      <c r="R14" s="11" t="s">
        <v>1273</v>
      </c>
      <c r="S14" s="9" t="s">
        <v>233</v>
      </c>
      <c r="T14" s="11" t="s">
        <v>1369</v>
      </c>
      <c r="U14" s="11"/>
      <c r="V14" s="9" t="s">
        <v>797</v>
      </c>
      <c r="W14" s="11" t="s">
        <v>1370</v>
      </c>
    </row>
    <row r="15" customFormat="false" ht="219" hidden="false" customHeight="true" outlineLevel="0" collapsed="false">
      <c r="A15" s="11" t="n">
        <v>11</v>
      </c>
      <c r="B15" s="8" t="s">
        <v>198</v>
      </c>
      <c r="C15" s="11" t="s">
        <v>86</v>
      </c>
      <c r="D15" s="17" t="s">
        <v>1371</v>
      </c>
      <c r="E15" s="9" t="s">
        <v>1276</v>
      </c>
      <c r="F15" s="11" t="s">
        <v>199</v>
      </c>
      <c r="G15" s="11" t="s">
        <v>1372</v>
      </c>
      <c r="H15" s="11" t="s">
        <v>1373</v>
      </c>
      <c r="I15" s="11" t="s">
        <v>1374</v>
      </c>
      <c r="J15" s="11" t="s">
        <v>804</v>
      </c>
      <c r="K15" s="9" t="s">
        <v>200</v>
      </c>
      <c r="L15" s="17" t="s">
        <v>805</v>
      </c>
      <c r="M15" s="11" t="s">
        <v>1375</v>
      </c>
      <c r="N15" s="11" t="s">
        <v>1376</v>
      </c>
      <c r="O15" s="11" t="s">
        <v>1377</v>
      </c>
      <c r="P15" s="11" t="s">
        <v>1378</v>
      </c>
      <c r="Q15" s="11" t="s">
        <v>1379</v>
      </c>
      <c r="R15" s="11" t="s">
        <v>1380</v>
      </c>
      <c r="S15" s="9" t="s">
        <v>233</v>
      </c>
      <c r="T15" s="11" t="s">
        <v>1381</v>
      </c>
      <c r="U15" s="11" t="s">
        <v>1382</v>
      </c>
      <c r="V15" s="9" t="s">
        <v>789</v>
      </c>
      <c r="W15" s="11" t="s">
        <v>1383</v>
      </c>
    </row>
    <row r="16" customFormat="false" ht="300" hidden="false" customHeight="true" outlineLevel="0" collapsed="false">
      <c r="A16" s="11" t="n">
        <v>12</v>
      </c>
      <c r="B16" s="8" t="s">
        <v>201</v>
      </c>
      <c r="C16" s="11" t="s">
        <v>202</v>
      </c>
      <c r="D16" s="17" t="s">
        <v>1384</v>
      </c>
      <c r="E16" s="9" t="s">
        <v>1251</v>
      </c>
      <c r="F16" s="11" t="s">
        <v>203</v>
      </c>
      <c r="G16" s="11" t="s">
        <v>1385</v>
      </c>
      <c r="H16" s="11" t="s">
        <v>1386</v>
      </c>
      <c r="I16" s="11" t="s">
        <v>1387</v>
      </c>
      <c r="J16" s="11" t="s">
        <v>806</v>
      </c>
      <c r="K16" s="9" t="s">
        <v>181</v>
      </c>
      <c r="L16" s="17" t="s">
        <v>807</v>
      </c>
      <c r="M16" s="11" t="s">
        <v>1388</v>
      </c>
      <c r="N16" s="11" t="s">
        <v>1389</v>
      </c>
      <c r="O16" s="11" t="s">
        <v>1390</v>
      </c>
      <c r="P16" s="11" t="s">
        <v>1391</v>
      </c>
      <c r="Q16" s="11" t="s">
        <v>1392</v>
      </c>
      <c r="R16" s="11" t="s">
        <v>1393</v>
      </c>
      <c r="S16" s="9" t="s">
        <v>1261</v>
      </c>
      <c r="T16" s="11" t="s">
        <v>1394</v>
      </c>
      <c r="U16" s="11" t="s">
        <v>1395</v>
      </c>
      <c r="V16" s="9" t="s">
        <v>789</v>
      </c>
      <c r="W16" s="11" t="s">
        <v>1396</v>
      </c>
    </row>
    <row r="17" customFormat="false" ht="109.5" hidden="false" customHeight="true" outlineLevel="0" collapsed="false">
      <c r="A17" s="11" t="n">
        <v>13</v>
      </c>
      <c r="B17" s="8" t="s">
        <v>204</v>
      </c>
      <c r="C17" s="11" t="s">
        <v>205</v>
      </c>
      <c r="D17" s="17" t="s">
        <v>1397</v>
      </c>
      <c r="E17" s="9" t="s">
        <v>1276</v>
      </c>
      <c r="F17" s="11" t="s">
        <v>206</v>
      </c>
      <c r="G17" s="11" t="s">
        <v>1398</v>
      </c>
      <c r="H17" s="11" t="s">
        <v>1399</v>
      </c>
      <c r="I17" s="11" t="s">
        <v>1400</v>
      </c>
      <c r="J17" s="11" t="s">
        <v>808</v>
      </c>
      <c r="K17" s="9" t="s">
        <v>181</v>
      </c>
      <c r="L17" s="17" t="s">
        <v>809</v>
      </c>
      <c r="M17" s="11" t="s">
        <v>1401</v>
      </c>
      <c r="N17" s="11" t="s">
        <v>1402</v>
      </c>
      <c r="O17" s="11" t="s">
        <v>1270</v>
      </c>
      <c r="P17" s="11" t="s">
        <v>1403</v>
      </c>
      <c r="Q17" s="11" t="s">
        <v>1404</v>
      </c>
      <c r="R17" s="11" t="s">
        <v>1405</v>
      </c>
      <c r="S17" s="9" t="s">
        <v>1261</v>
      </c>
      <c r="T17" s="11" t="s">
        <v>1406</v>
      </c>
      <c r="U17" s="11" t="s">
        <v>1407</v>
      </c>
      <c r="V17" s="9" t="s">
        <v>797</v>
      </c>
      <c r="W17" s="11" t="s">
        <v>1408</v>
      </c>
    </row>
    <row r="18" customFormat="false" ht="195" hidden="false" customHeight="true" outlineLevel="0" collapsed="false">
      <c r="A18" s="11" t="n">
        <v>14</v>
      </c>
      <c r="B18" s="8" t="s">
        <v>207</v>
      </c>
      <c r="C18" s="11" t="s">
        <v>208</v>
      </c>
      <c r="D18" s="17" t="s">
        <v>870</v>
      </c>
      <c r="E18" s="9" t="s">
        <v>1251</v>
      </c>
      <c r="F18" s="11" t="s">
        <v>209</v>
      </c>
      <c r="G18" s="11" t="s">
        <v>1409</v>
      </c>
      <c r="H18" s="11" t="s">
        <v>1410</v>
      </c>
      <c r="I18" s="11" t="s">
        <v>1411</v>
      </c>
      <c r="J18" s="11" t="s">
        <v>810</v>
      </c>
      <c r="K18" s="9" t="s">
        <v>181</v>
      </c>
      <c r="L18" s="17" t="s">
        <v>811</v>
      </c>
      <c r="M18" s="11" t="s">
        <v>1412</v>
      </c>
      <c r="N18" s="11" t="s">
        <v>1413</v>
      </c>
      <c r="O18" s="11" t="s">
        <v>1414</v>
      </c>
      <c r="P18" s="11" t="s">
        <v>1415</v>
      </c>
      <c r="Q18" s="11" t="s">
        <v>1416</v>
      </c>
      <c r="R18" s="11" t="s">
        <v>1417</v>
      </c>
      <c r="S18" s="9" t="s">
        <v>233</v>
      </c>
      <c r="T18" s="11" t="s">
        <v>1418</v>
      </c>
      <c r="U18" s="11" t="s">
        <v>1419</v>
      </c>
      <c r="V18" s="9" t="s">
        <v>789</v>
      </c>
      <c r="W18" s="11" t="s">
        <v>1420</v>
      </c>
    </row>
    <row r="19" customFormat="false" ht="97.5" hidden="false" customHeight="true" outlineLevel="0" collapsed="false">
      <c r="A19" s="11" t="n">
        <v>15</v>
      </c>
      <c r="B19" s="8" t="s">
        <v>210</v>
      </c>
      <c r="C19" s="11" t="s">
        <v>211</v>
      </c>
      <c r="D19" s="17" t="s">
        <v>813</v>
      </c>
      <c r="E19" s="9" t="s">
        <v>1251</v>
      </c>
      <c r="F19" s="11" t="s">
        <v>212</v>
      </c>
      <c r="G19" s="11" t="s">
        <v>1421</v>
      </c>
      <c r="H19" s="11" t="s">
        <v>1422</v>
      </c>
      <c r="I19" s="11" t="s">
        <v>1423</v>
      </c>
      <c r="J19" s="11" t="s">
        <v>812</v>
      </c>
      <c r="K19" s="9" t="s">
        <v>181</v>
      </c>
      <c r="L19" s="17" t="s">
        <v>813</v>
      </c>
      <c r="M19" s="11" t="s">
        <v>1424</v>
      </c>
      <c r="N19" s="11" t="s">
        <v>1402</v>
      </c>
      <c r="O19" s="11" t="s">
        <v>1270</v>
      </c>
      <c r="P19" s="11" t="s">
        <v>1425</v>
      </c>
      <c r="Q19" s="11" t="s">
        <v>1426</v>
      </c>
      <c r="R19" s="11" t="s">
        <v>1273</v>
      </c>
      <c r="S19" s="9" t="s">
        <v>233</v>
      </c>
      <c r="T19" s="11" t="s">
        <v>1427</v>
      </c>
      <c r="U19" s="11"/>
      <c r="V19" s="9" t="s">
        <v>786</v>
      </c>
      <c r="W19" s="11" t="s">
        <v>1428</v>
      </c>
    </row>
    <row r="20" customFormat="false" ht="158.25" hidden="false" customHeight="true" outlineLevel="0" collapsed="false">
      <c r="A20" s="11" t="n">
        <v>16</v>
      </c>
      <c r="B20" s="8" t="s">
        <v>213</v>
      </c>
      <c r="C20" s="11" t="s">
        <v>214</v>
      </c>
      <c r="D20" s="17" t="s">
        <v>815</v>
      </c>
      <c r="E20" s="9" t="s">
        <v>1276</v>
      </c>
      <c r="F20" s="11" t="s">
        <v>183</v>
      </c>
      <c r="G20" s="11" t="s">
        <v>1429</v>
      </c>
      <c r="H20" s="11" t="s">
        <v>1430</v>
      </c>
      <c r="I20" s="11" t="s">
        <v>1431</v>
      </c>
      <c r="J20" s="11" t="s">
        <v>814</v>
      </c>
      <c r="K20" s="9" t="s">
        <v>181</v>
      </c>
      <c r="L20" s="17" t="s">
        <v>815</v>
      </c>
      <c r="M20" s="11" t="s">
        <v>1432</v>
      </c>
      <c r="N20" s="11" t="s">
        <v>1433</v>
      </c>
      <c r="O20" s="11" t="s">
        <v>1270</v>
      </c>
      <c r="P20" s="11" t="s">
        <v>1434</v>
      </c>
      <c r="Q20" s="11" t="s">
        <v>1435</v>
      </c>
      <c r="R20" s="11" t="s">
        <v>1273</v>
      </c>
      <c r="S20" s="9" t="s">
        <v>233</v>
      </c>
      <c r="T20" s="11" t="s">
        <v>1436</v>
      </c>
      <c r="U20" s="11" t="s">
        <v>1437</v>
      </c>
      <c r="V20" s="9" t="s">
        <v>794</v>
      </c>
      <c r="W20" s="11" t="s">
        <v>1438</v>
      </c>
    </row>
    <row r="21" customFormat="false" ht="133.5" hidden="false" customHeight="true" outlineLevel="0" collapsed="false">
      <c r="A21" s="11" t="n">
        <v>17</v>
      </c>
      <c r="B21" s="8" t="s">
        <v>215</v>
      </c>
      <c r="C21" s="11" t="s">
        <v>216</v>
      </c>
      <c r="D21" s="17" t="s">
        <v>817</v>
      </c>
      <c r="E21" s="9" t="s">
        <v>1251</v>
      </c>
      <c r="F21" s="11" t="s">
        <v>217</v>
      </c>
      <c r="G21" s="11" t="s">
        <v>1439</v>
      </c>
      <c r="H21" s="11" t="s">
        <v>1440</v>
      </c>
      <c r="I21" s="11" t="s">
        <v>1441</v>
      </c>
      <c r="J21" s="11" t="s">
        <v>816</v>
      </c>
      <c r="K21" s="9" t="s">
        <v>181</v>
      </c>
      <c r="L21" s="17" t="s">
        <v>817</v>
      </c>
      <c r="M21" s="11" t="s">
        <v>1442</v>
      </c>
      <c r="N21" s="11" t="s">
        <v>1443</v>
      </c>
      <c r="O21" s="11" t="s">
        <v>1444</v>
      </c>
      <c r="P21" s="11" t="s">
        <v>1445</v>
      </c>
      <c r="Q21" s="11" t="s">
        <v>1446</v>
      </c>
      <c r="R21" s="11" t="s">
        <v>1273</v>
      </c>
      <c r="S21" s="9" t="s">
        <v>233</v>
      </c>
      <c r="T21" s="11" t="s">
        <v>1447</v>
      </c>
      <c r="U21" s="11"/>
      <c r="V21" s="9" t="s">
        <v>786</v>
      </c>
      <c r="W21" s="11" t="s">
        <v>1448</v>
      </c>
    </row>
    <row r="22" customFormat="false" ht="133.5" hidden="false" customHeight="true" outlineLevel="0" collapsed="false">
      <c r="A22" s="11" t="n">
        <v>18</v>
      </c>
      <c r="B22" s="8" t="s">
        <v>218</v>
      </c>
      <c r="C22" s="11" t="s">
        <v>219</v>
      </c>
      <c r="D22" s="17" t="s">
        <v>819</v>
      </c>
      <c r="E22" s="9" t="s">
        <v>1251</v>
      </c>
      <c r="F22" s="11" t="s">
        <v>183</v>
      </c>
      <c r="G22" s="11" t="s">
        <v>1449</v>
      </c>
      <c r="H22" s="11" t="s">
        <v>1450</v>
      </c>
      <c r="I22" s="11" t="s">
        <v>1451</v>
      </c>
      <c r="J22" s="11" t="s">
        <v>818</v>
      </c>
      <c r="K22" s="9" t="s">
        <v>181</v>
      </c>
      <c r="L22" s="17" t="s">
        <v>819</v>
      </c>
      <c r="M22" s="11" t="s">
        <v>1452</v>
      </c>
      <c r="N22" s="11" t="s">
        <v>1453</v>
      </c>
      <c r="O22" s="11" t="s">
        <v>1270</v>
      </c>
      <c r="P22" s="11" t="s">
        <v>1454</v>
      </c>
      <c r="Q22" s="11" t="s">
        <v>1455</v>
      </c>
      <c r="R22" s="11" t="s">
        <v>1273</v>
      </c>
      <c r="S22" s="9" t="s">
        <v>233</v>
      </c>
      <c r="T22" s="11" t="s">
        <v>1456</v>
      </c>
      <c r="U22" s="11"/>
      <c r="V22" s="9" t="s">
        <v>789</v>
      </c>
      <c r="W22" s="11" t="s">
        <v>1457</v>
      </c>
    </row>
    <row r="23" customFormat="false" ht="219" hidden="false" customHeight="true" outlineLevel="0" collapsed="false">
      <c r="A23" s="11" t="n">
        <v>19</v>
      </c>
      <c r="B23" s="8" t="s">
        <v>220</v>
      </c>
      <c r="C23" s="11" t="s">
        <v>221</v>
      </c>
      <c r="D23" s="17" t="s">
        <v>1458</v>
      </c>
      <c r="E23" s="9" t="s">
        <v>1251</v>
      </c>
      <c r="F23" s="11" t="s">
        <v>183</v>
      </c>
      <c r="G23" s="11" t="s">
        <v>1459</v>
      </c>
      <c r="H23" s="11" t="s">
        <v>1460</v>
      </c>
      <c r="I23" s="11" t="s">
        <v>1461</v>
      </c>
      <c r="J23" s="11" t="s">
        <v>820</v>
      </c>
      <c r="K23" s="9" t="s">
        <v>181</v>
      </c>
      <c r="L23" s="17" t="s">
        <v>821</v>
      </c>
      <c r="M23" s="11" t="s">
        <v>1462</v>
      </c>
      <c r="N23" s="11" t="s">
        <v>1463</v>
      </c>
      <c r="O23" s="11" t="s">
        <v>1464</v>
      </c>
      <c r="P23" s="11" t="s">
        <v>1465</v>
      </c>
      <c r="Q23" s="11" t="s">
        <v>1466</v>
      </c>
      <c r="R23" s="11" t="s">
        <v>1467</v>
      </c>
      <c r="S23" s="9" t="s">
        <v>1296</v>
      </c>
      <c r="T23" s="11" t="s">
        <v>1468</v>
      </c>
      <c r="U23" s="11" t="s">
        <v>1469</v>
      </c>
      <c r="V23" s="9" t="s">
        <v>794</v>
      </c>
      <c r="W23" s="11" t="s">
        <v>1470</v>
      </c>
    </row>
    <row r="24" customFormat="false" ht="170.25" hidden="false" customHeight="true" outlineLevel="0" collapsed="false">
      <c r="A24" s="11" t="n">
        <v>20</v>
      </c>
      <c r="B24" s="8" t="s">
        <v>222</v>
      </c>
      <c r="C24" s="11" t="s">
        <v>223</v>
      </c>
      <c r="D24" s="17" t="s">
        <v>1207</v>
      </c>
      <c r="E24" s="9" t="s">
        <v>1251</v>
      </c>
      <c r="F24" s="11" t="s">
        <v>183</v>
      </c>
      <c r="G24" s="11" t="s">
        <v>1471</v>
      </c>
      <c r="H24" s="11" t="s">
        <v>1472</v>
      </c>
      <c r="I24" s="11" t="s">
        <v>1473</v>
      </c>
      <c r="J24" s="11" t="s">
        <v>822</v>
      </c>
      <c r="K24" s="9" t="s">
        <v>181</v>
      </c>
      <c r="L24" s="17" t="s">
        <v>823</v>
      </c>
      <c r="M24" s="11" t="s">
        <v>1474</v>
      </c>
      <c r="N24" s="11" t="s">
        <v>1342</v>
      </c>
      <c r="O24" s="11" t="s">
        <v>1270</v>
      </c>
      <c r="P24" s="11" t="s">
        <v>1475</v>
      </c>
      <c r="Q24" s="11" t="s">
        <v>1476</v>
      </c>
      <c r="R24" s="11" t="s">
        <v>1273</v>
      </c>
      <c r="S24" s="9" t="s">
        <v>233</v>
      </c>
      <c r="T24" s="11" t="s">
        <v>1477</v>
      </c>
      <c r="U24" s="11"/>
      <c r="V24" s="9" t="s">
        <v>786</v>
      </c>
      <c r="W24" s="11" t="s">
        <v>1478</v>
      </c>
    </row>
    <row r="25" customFormat="false" ht="300" hidden="false" customHeight="true" outlineLevel="0" collapsed="false">
      <c r="A25" s="11" t="n">
        <v>21</v>
      </c>
      <c r="B25" s="8" t="s">
        <v>224</v>
      </c>
      <c r="C25" s="11" t="s">
        <v>225</v>
      </c>
      <c r="D25" s="17" t="s">
        <v>1479</v>
      </c>
      <c r="E25" s="9" t="s">
        <v>1251</v>
      </c>
      <c r="F25" s="11" t="s">
        <v>212</v>
      </c>
      <c r="G25" s="11" t="s">
        <v>1480</v>
      </c>
      <c r="H25" s="11" t="s">
        <v>1481</v>
      </c>
      <c r="I25" s="11" t="s">
        <v>1482</v>
      </c>
      <c r="J25" s="11" t="s">
        <v>824</v>
      </c>
      <c r="K25" s="9" t="s">
        <v>181</v>
      </c>
      <c r="L25" s="17" t="s">
        <v>825</v>
      </c>
      <c r="M25" s="11" t="s">
        <v>1483</v>
      </c>
      <c r="N25" s="11" t="s">
        <v>1484</v>
      </c>
      <c r="O25" s="11" t="s">
        <v>1485</v>
      </c>
      <c r="P25" s="11" t="s">
        <v>1486</v>
      </c>
      <c r="Q25" s="11" t="s">
        <v>1487</v>
      </c>
      <c r="R25" s="11" t="s">
        <v>1488</v>
      </c>
      <c r="S25" s="9" t="s">
        <v>1489</v>
      </c>
      <c r="T25" s="11" t="s">
        <v>1490</v>
      </c>
      <c r="U25" s="11" t="s">
        <v>1491</v>
      </c>
      <c r="V25" s="9" t="s">
        <v>789</v>
      </c>
      <c r="W25" s="11" t="s">
        <v>1492</v>
      </c>
    </row>
    <row r="26" customFormat="false" ht="183" hidden="false" customHeight="true" outlineLevel="0" collapsed="false">
      <c r="A26" s="11" t="n">
        <v>22</v>
      </c>
      <c r="B26" s="8" t="s">
        <v>226</v>
      </c>
      <c r="C26" s="11" t="s">
        <v>227</v>
      </c>
      <c r="D26" s="17" t="s">
        <v>1493</v>
      </c>
      <c r="E26" s="9" t="s">
        <v>1251</v>
      </c>
      <c r="F26" s="11" t="s">
        <v>183</v>
      </c>
      <c r="G26" s="11" t="s">
        <v>1494</v>
      </c>
      <c r="H26" s="11" t="s">
        <v>1495</v>
      </c>
      <c r="I26" s="11" t="s">
        <v>1496</v>
      </c>
      <c r="J26" s="11" t="s">
        <v>826</v>
      </c>
      <c r="K26" s="9" t="s">
        <v>181</v>
      </c>
      <c r="L26" s="17" t="s">
        <v>827</v>
      </c>
      <c r="M26" s="11" t="s">
        <v>1497</v>
      </c>
      <c r="N26" s="11" t="s">
        <v>1498</v>
      </c>
      <c r="O26" s="11" t="s">
        <v>1499</v>
      </c>
      <c r="P26" s="11" t="s">
        <v>1500</v>
      </c>
      <c r="Q26" s="11" t="s">
        <v>1501</v>
      </c>
      <c r="R26" s="11" t="s">
        <v>1502</v>
      </c>
      <c r="S26" s="9" t="s">
        <v>1310</v>
      </c>
      <c r="T26" s="11" t="s">
        <v>1503</v>
      </c>
      <c r="U26" s="11" t="s">
        <v>1504</v>
      </c>
      <c r="V26" s="9" t="s">
        <v>789</v>
      </c>
      <c r="W26" s="11" t="s">
        <v>1505</v>
      </c>
    </row>
    <row r="27" customFormat="false" ht="158.25" hidden="false" customHeight="true" outlineLevel="0" collapsed="false">
      <c r="A27" s="11" t="n">
        <v>23</v>
      </c>
      <c r="B27" s="8" t="s">
        <v>228</v>
      </c>
      <c r="C27" s="11" t="s">
        <v>229</v>
      </c>
      <c r="D27" s="17" t="s">
        <v>1221</v>
      </c>
      <c r="E27" s="9" t="s">
        <v>1276</v>
      </c>
      <c r="F27" s="11" t="s">
        <v>183</v>
      </c>
      <c r="G27" s="11" t="s">
        <v>1506</v>
      </c>
      <c r="H27" s="11" t="s">
        <v>1507</v>
      </c>
      <c r="I27" s="11" t="s">
        <v>1508</v>
      </c>
      <c r="J27" s="11" t="s">
        <v>828</v>
      </c>
      <c r="K27" s="9" t="s">
        <v>181</v>
      </c>
      <c r="L27" s="17" t="s">
        <v>829</v>
      </c>
      <c r="M27" s="11" t="s">
        <v>1509</v>
      </c>
      <c r="N27" s="11" t="s">
        <v>1510</v>
      </c>
      <c r="O27" s="11" t="s">
        <v>1270</v>
      </c>
      <c r="P27" s="11" t="s">
        <v>1511</v>
      </c>
      <c r="Q27" s="11" t="s">
        <v>1512</v>
      </c>
      <c r="R27" s="11" t="s">
        <v>1513</v>
      </c>
      <c r="S27" s="9" t="s">
        <v>1261</v>
      </c>
      <c r="T27" s="11" t="s">
        <v>1514</v>
      </c>
      <c r="U27" s="11"/>
      <c r="V27" s="9" t="s">
        <v>781</v>
      </c>
      <c r="W27" s="11" t="s">
        <v>1515</v>
      </c>
    </row>
    <row r="28" customFormat="false" ht="97.5" hidden="false" customHeight="true" outlineLevel="0" collapsed="false">
      <c r="A28" s="11" t="n">
        <v>24</v>
      </c>
      <c r="B28" s="8" t="s">
        <v>230</v>
      </c>
      <c r="C28" s="11" t="s">
        <v>231</v>
      </c>
      <c r="D28" s="17" t="s">
        <v>1516</v>
      </c>
      <c r="E28" s="9" t="s">
        <v>1251</v>
      </c>
      <c r="F28" s="11" t="s">
        <v>232</v>
      </c>
      <c r="G28" s="11" t="s">
        <v>1517</v>
      </c>
      <c r="H28" s="11" t="s">
        <v>1518</v>
      </c>
      <c r="I28" s="11" t="s">
        <v>1519</v>
      </c>
      <c r="J28" s="11" t="s">
        <v>830</v>
      </c>
      <c r="K28" s="9" t="s">
        <v>233</v>
      </c>
      <c r="L28" s="17" t="s">
        <v>831</v>
      </c>
      <c r="M28" s="11" t="s">
        <v>1520</v>
      </c>
      <c r="N28" s="11" t="s">
        <v>1521</v>
      </c>
      <c r="O28" s="11" t="s">
        <v>1270</v>
      </c>
      <c r="P28" s="11" t="s">
        <v>1522</v>
      </c>
      <c r="Q28" s="11" t="s">
        <v>1523</v>
      </c>
      <c r="R28" s="11" t="s">
        <v>1524</v>
      </c>
      <c r="S28" s="9" t="s">
        <v>1261</v>
      </c>
      <c r="T28" s="11" t="s">
        <v>1525</v>
      </c>
      <c r="U28" s="11"/>
      <c r="V28" s="9" t="s">
        <v>781</v>
      </c>
      <c r="W28" s="11" t="s">
        <v>1526</v>
      </c>
    </row>
    <row r="29" customFormat="false" ht="170.25" hidden="false" customHeight="true" outlineLevel="0" collapsed="false">
      <c r="A29" s="11" t="n">
        <v>25</v>
      </c>
      <c r="B29" s="8" t="s">
        <v>234</v>
      </c>
      <c r="C29" s="11" t="s">
        <v>235</v>
      </c>
      <c r="D29" s="17" t="s">
        <v>1527</v>
      </c>
      <c r="E29" s="9" t="s">
        <v>1251</v>
      </c>
      <c r="F29" s="11" t="s">
        <v>236</v>
      </c>
      <c r="G29" s="11" t="s">
        <v>1528</v>
      </c>
      <c r="H29" s="11" t="s">
        <v>1529</v>
      </c>
      <c r="I29" s="11" t="s">
        <v>1530</v>
      </c>
      <c r="J29" s="11" t="s">
        <v>832</v>
      </c>
      <c r="K29" s="9" t="s">
        <v>181</v>
      </c>
      <c r="L29" s="17" t="s">
        <v>833</v>
      </c>
      <c r="M29" s="11" t="s">
        <v>1531</v>
      </c>
      <c r="N29" s="11" t="s">
        <v>1532</v>
      </c>
      <c r="O29" s="11" t="s">
        <v>1533</v>
      </c>
      <c r="P29" s="11" t="s">
        <v>1534</v>
      </c>
      <c r="Q29" s="11" t="s">
        <v>1535</v>
      </c>
      <c r="R29" s="11" t="s">
        <v>1536</v>
      </c>
      <c r="S29" s="9" t="s">
        <v>233</v>
      </c>
      <c r="T29" s="11" t="s">
        <v>1537</v>
      </c>
      <c r="U29" s="11" t="s">
        <v>1538</v>
      </c>
      <c r="V29" s="9" t="s">
        <v>794</v>
      </c>
      <c r="W29" s="11" t="s">
        <v>1539</v>
      </c>
    </row>
    <row r="30" customFormat="false" ht="97.5" hidden="false" customHeight="true" outlineLevel="0" collapsed="false">
      <c r="A30" s="11" t="n">
        <v>26</v>
      </c>
      <c r="B30" s="8" t="s">
        <v>237</v>
      </c>
      <c r="C30" s="11" t="s">
        <v>238</v>
      </c>
      <c r="D30" s="17" t="s">
        <v>834</v>
      </c>
      <c r="E30" s="9" t="s">
        <v>1251</v>
      </c>
      <c r="F30" s="11" t="s">
        <v>239</v>
      </c>
      <c r="G30" s="11" t="s">
        <v>1517</v>
      </c>
      <c r="H30" s="11" t="s">
        <v>1540</v>
      </c>
      <c r="I30" s="11" t="s">
        <v>1541</v>
      </c>
      <c r="J30" s="11" t="s">
        <v>830</v>
      </c>
      <c r="K30" s="9" t="s">
        <v>233</v>
      </c>
      <c r="L30" s="17" t="s">
        <v>834</v>
      </c>
      <c r="M30" s="11" t="s">
        <v>1542</v>
      </c>
      <c r="N30" s="11" t="s">
        <v>1543</v>
      </c>
      <c r="O30" s="11" t="s">
        <v>1270</v>
      </c>
      <c r="P30" s="11" t="s">
        <v>1544</v>
      </c>
      <c r="Q30" s="11" t="s">
        <v>1523</v>
      </c>
      <c r="R30" s="11" t="s">
        <v>1524</v>
      </c>
      <c r="S30" s="9" t="s">
        <v>1261</v>
      </c>
      <c r="T30" s="11" t="s">
        <v>1545</v>
      </c>
      <c r="U30" s="11"/>
      <c r="V30" s="9" t="s">
        <v>781</v>
      </c>
      <c r="W30" s="11" t="s">
        <v>1546</v>
      </c>
    </row>
    <row r="31" customFormat="false" ht="300" hidden="false" customHeight="true" outlineLevel="0" collapsed="false">
      <c r="A31" s="11" t="n">
        <v>27</v>
      </c>
      <c r="B31" s="8" t="s">
        <v>240</v>
      </c>
      <c r="C31" s="11" t="s">
        <v>241</v>
      </c>
      <c r="D31" s="17" t="s">
        <v>1547</v>
      </c>
      <c r="E31" s="9" t="s">
        <v>1251</v>
      </c>
      <c r="F31" s="11" t="s">
        <v>242</v>
      </c>
      <c r="G31" s="11" t="s">
        <v>1548</v>
      </c>
      <c r="H31" s="11" t="s">
        <v>1549</v>
      </c>
      <c r="I31" s="11" t="s">
        <v>1550</v>
      </c>
      <c r="J31" s="11" t="s">
        <v>835</v>
      </c>
      <c r="K31" s="9" t="s">
        <v>181</v>
      </c>
      <c r="L31" s="17" t="s">
        <v>836</v>
      </c>
      <c r="M31" s="11" t="s">
        <v>1551</v>
      </c>
      <c r="N31" s="11" t="s">
        <v>1552</v>
      </c>
      <c r="O31" s="11" t="s">
        <v>1553</v>
      </c>
      <c r="P31" s="11" t="s">
        <v>1554</v>
      </c>
      <c r="Q31" s="11" t="s">
        <v>1555</v>
      </c>
      <c r="R31" s="11" t="s">
        <v>1556</v>
      </c>
      <c r="S31" s="9" t="s">
        <v>1310</v>
      </c>
      <c r="T31" s="11" t="s">
        <v>1557</v>
      </c>
      <c r="U31" s="11" t="s">
        <v>1558</v>
      </c>
      <c r="V31" s="9" t="s">
        <v>789</v>
      </c>
      <c r="W31" s="11" t="s">
        <v>1559</v>
      </c>
    </row>
    <row r="32" customFormat="false" ht="97.5" hidden="false" customHeight="true" outlineLevel="0" collapsed="false">
      <c r="A32" s="11" t="n">
        <v>28</v>
      </c>
      <c r="B32" s="8" t="s">
        <v>243</v>
      </c>
      <c r="C32" s="11" t="s">
        <v>244</v>
      </c>
      <c r="D32" s="17" t="s">
        <v>838</v>
      </c>
      <c r="E32" s="9" t="s">
        <v>1251</v>
      </c>
      <c r="F32" s="11" t="s">
        <v>232</v>
      </c>
      <c r="G32" s="11" t="s">
        <v>1517</v>
      </c>
      <c r="H32" s="11" t="s">
        <v>1560</v>
      </c>
      <c r="I32" s="11" t="s">
        <v>1561</v>
      </c>
      <c r="J32" s="11" t="s">
        <v>837</v>
      </c>
      <c r="K32" s="9" t="s">
        <v>233</v>
      </c>
      <c r="L32" s="17" t="s">
        <v>838</v>
      </c>
      <c r="M32" s="11" t="s">
        <v>1562</v>
      </c>
      <c r="N32" s="11" t="s">
        <v>1563</v>
      </c>
      <c r="O32" s="11" t="s">
        <v>1270</v>
      </c>
      <c r="P32" s="11" t="s">
        <v>1564</v>
      </c>
      <c r="Q32" s="11" t="s">
        <v>1523</v>
      </c>
      <c r="R32" s="11" t="s">
        <v>1524</v>
      </c>
      <c r="S32" s="9" t="s">
        <v>1261</v>
      </c>
      <c r="T32" s="11" t="s">
        <v>1565</v>
      </c>
      <c r="U32" s="11"/>
      <c r="V32" s="9" t="s">
        <v>781</v>
      </c>
      <c r="W32" s="11" t="s">
        <v>1566</v>
      </c>
    </row>
    <row r="33" customFormat="false" ht="133.5" hidden="false" customHeight="true" outlineLevel="0" collapsed="false">
      <c r="A33" s="11" t="n">
        <v>29</v>
      </c>
      <c r="B33" s="8" t="s">
        <v>245</v>
      </c>
      <c r="C33" s="11" t="s">
        <v>246</v>
      </c>
      <c r="D33" s="17" t="s">
        <v>840</v>
      </c>
      <c r="E33" s="9" t="s">
        <v>1276</v>
      </c>
      <c r="F33" s="11" t="s">
        <v>247</v>
      </c>
      <c r="G33" s="11" t="s">
        <v>1567</v>
      </c>
      <c r="H33" s="11" t="s">
        <v>1568</v>
      </c>
      <c r="I33" s="11" t="s">
        <v>1569</v>
      </c>
      <c r="J33" s="11" t="s">
        <v>839</v>
      </c>
      <c r="K33" s="9" t="s">
        <v>233</v>
      </c>
      <c r="L33" s="17" t="s">
        <v>840</v>
      </c>
      <c r="M33" s="11" t="s">
        <v>1570</v>
      </c>
      <c r="N33" s="11" t="s">
        <v>1571</v>
      </c>
      <c r="O33" s="11" t="s">
        <v>1270</v>
      </c>
      <c r="P33" s="11" t="s">
        <v>1572</v>
      </c>
      <c r="Q33" s="11" t="s">
        <v>1523</v>
      </c>
      <c r="R33" s="11" t="s">
        <v>1524</v>
      </c>
      <c r="S33" s="9" t="s">
        <v>1261</v>
      </c>
      <c r="T33" s="11" t="s">
        <v>1573</v>
      </c>
      <c r="U33" s="11"/>
      <c r="V33" s="9" t="s">
        <v>781</v>
      </c>
      <c r="W33" s="11" t="s">
        <v>1574</v>
      </c>
    </row>
    <row r="34" customFormat="false" ht="97.5" hidden="false" customHeight="true" outlineLevel="0" collapsed="false">
      <c r="A34" s="11" t="n">
        <v>30</v>
      </c>
      <c r="B34" s="8" t="s">
        <v>248</v>
      </c>
      <c r="C34" s="11" t="s">
        <v>249</v>
      </c>
      <c r="D34" s="17" t="s">
        <v>1575</v>
      </c>
      <c r="E34" s="9" t="s">
        <v>1251</v>
      </c>
      <c r="F34" s="11" t="s">
        <v>250</v>
      </c>
      <c r="G34" s="11" t="s">
        <v>1576</v>
      </c>
      <c r="H34" s="11" t="s">
        <v>1577</v>
      </c>
      <c r="I34" s="11" t="s">
        <v>1578</v>
      </c>
      <c r="J34" s="11" t="s">
        <v>830</v>
      </c>
      <c r="K34" s="9" t="s">
        <v>233</v>
      </c>
      <c r="L34" s="17" t="s">
        <v>841</v>
      </c>
      <c r="M34" s="11" t="s">
        <v>1579</v>
      </c>
      <c r="N34" s="11" t="s">
        <v>1580</v>
      </c>
      <c r="O34" s="11" t="s">
        <v>1270</v>
      </c>
      <c r="P34" s="11" t="s">
        <v>1581</v>
      </c>
      <c r="Q34" s="11" t="s">
        <v>1523</v>
      </c>
      <c r="R34" s="11" t="s">
        <v>1524</v>
      </c>
      <c r="S34" s="9" t="s">
        <v>1261</v>
      </c>
      <c r="T34" s="11" t="s">
        <v>1582</v>
      </c>
      <c r="U34" s="11" t="s">
        <v>1583</v>
      </c>
      <c r="V34" s="9" t="s">
        <v>781</v>
      </c>
      <c r="W34" s="11" t="s">
        <v>1584</v>
      </c>
    </row>
    <row r="35" customFormat="false" ht="195" hidden="false" customHeight="true" outlineLevel="0" collapsed="false">
      <c r="A35" s="11" t="n">
        <v>31</v>
      </c>
      <c r="B35" s="8" t="s">
        <v>251</v>
      </c>
      <c r="C35" s="11" t="s">
        <v>252</v>
      </c>
      <c r="D35" s="17" t="s">
        <v>1585</v>
      </c>
      <c r="E35" s="9" t="s">
        <v>1251</v>
      </c>
      <c r="F35" s="11" t="s">
        <v>253</v>
      </c>
      <c r="G35" s="11" t="s">
        <v>1586</v>
      </c>
      <c r="H35" s="11" t="s">
        <v>1587</v>
      </c>
      <c r="I35" s="11" t="s">
        <v>1588</v>
      </c>
      <c r="J35" s="11" t="s">
        <v>842</v>
      </c>
      <c r="K35" s="9" t="s">
        <v>181</v>
      </c>
      <c r="L35" s="17" t="s">
        <v>843</v>
      </c>
      <c r="M35" s="11" t="s">
        <v>1589</v>
      </c>
      <c r="N35" s="11" t="s">
        <v>1590</v>
      </c>
      <c r="O35" s="11" t="s">
        <v>1591</v>
      </c>
      <c r="P35" s="11" t="s">
        <v>1592</v>
      </c>
      <c r="Q35" s="11" t="s">
        <v>1593</v>
      </c>
      <c r="R35" s="11" t="s">
        <v>1594</v>
      </c>
      <c r="S35" s="9" t="s">
        <v>1310</v>
      </c>
      <c r="T35" s="11" t="s">
        <v>1595</v>
      </c>
      <c r="U35" s="11" t="s">
        <v>1596</v>
      </c>
      <c r="V35" s="9" t="s">
        <v>789</v>
      </c>
      <c r="W35" s="11" t="s">
        <v>1597</v>
      </c>
    </row>
    <row r="36" customFormat="false" ht="300" hidden="false" customHeight="true" outlineLevel="0" collapsed="false">
      <c r="A36" s="11" t="n">
        <v>32</v>
      </c>
      <c r="B36" s="8" t="s">
        <v>254</v>
      </c>
      <c r="C36" s="11" t="s">
        <v>255</v>
      </c>
      <c r="D36" s="17" t="s">
        <v>1598</v>
      </c>
      <c r="E36" s="9" t="s">
        <v>1251</v>
      </c>
      <c r="F36" s="11" t="s">
        <v>256</v>
      </c>
      <c r="G36" s="11" t="s">
        <v>1599</v>
      </c>
      <c r="H36" s="11" t="s">
        <v>1600</v>
      </c>
      <c r="I36" s="11" t="s">
        <v>1601</v>
      </c>
      <c r="J36" s="11" t="s">
        <v>844</v>
      </c>
      <c r="K36" s="9" t="s">
        <v>181</v>
      </c>
      <c r="L36" s="17" t="s">
        <v>845</v>
      </c>
      <c r="M36" s="11" t="s">
        <v>1602</v>
      </c>
      <c r="N36" s="11" t="s">
        <v>1603</v>
      </c>
      <c r="O36" s="11" t="s">
        <v>1604</v>
      </c>
      <c r="P36" s="11" t="s">
        <v>1605</v>
      </c>
      <c r="Q36" s="11" t="s">
        <v>1606</v>
      </c>
      <c r="R36" s="11" t="s">
        <v>1607</v>
      </c>
      <c r="S36" s="9" t="s">
        <v>1608</v>
      </c>
      <c r="T36" s="11" t="s">
        <v>1609</v>
      </c>
      <c r="U36" s="11" t="s">
        <v>1610</v>
      </c>
      <c r="V36" s="9" t="s">
        <v>789</v>
      </c>
      <c r="W36" s="11" t="s">
        <v>1611</v>
      </c>
    </row>
    <row r="37" customFormat="false" ht="97.5" hidden="false" customHeight="true" outlineLevel="0" collapsed="false">
      <c r="A37" s="11" t="n">
        <v>33</v>
      </c>
      <c r="B37" s="8" t="s">
        <v>257</v>
      </c>
      <c r="C37" s="11" t="s">
        <v>258</v>
      </c>
      <c r="D37" s="17" t="s">
        <v>846</v>
      </c>
      <c r="E37" s="9" t="s">
        <v>1251</v>
      </c>
      <c r="F37" s="11" t="s">
        <v>259</v>
      </c>
      <c r="G37" s="11" t="s">
        <v>1576</v>
      </c>
      <c r="H37" s="11" t="s">
        <v>1612</v>
      </c>
      <c r="I37" s="11" t="s">
        <v>1613</v>
      </c>
      <c r="J37" s="11" t="s">
        <v>830</v>
      </c>
      <c r="K37" s="9" t="s">
        <v>233</v>
      </c>
      <c r="L37" s="17" t="s">
        <v>846</v>
      </c>
      <c r="M37" s="11" t="s">
        <v>1614</v>
      </c>
      <c r="N37" s="11" t="s">
        <v>1615</v>
      </c>
      <c r="O37" s="11" t="s">
        <v>1270</v>
      </c>
      <c r="P37" s="11" t="s">
        <v>1616</v>
      </c>
      <c r="Q37" s="11" t="s">
        <v>1523</v>
      </c>
      <c r="R37" s="11" t="s">
        <v>1524</v>
      </c>
      <c r="S37" s="9" t="s">
        <v>1261</v>
      </c>
      <c r="T37" s="11" t="s">
        <v>1617</v>
      </c>
      <c r="U37" s="11"/>
      <c r="V37" s="9" t="s">
        <v>781</v>
      </c>
      <c r="W37" s="11" t="s">
        <v>1618</v>
      </c>
    </row>
  </sheetData>
  <autoFilter ref="A4:W37"/>
  <conditionalFormatting sqref="K5:K37">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37">
    <cfRule type="cellIs" priority="6" operator="equal" aboveAverage="0" equalAverage="0" bottom="0" percent="0" rank="0" text="" dxfId="15">
      <formula>"Yes"</formula>
    </cfRule>
  </conditionalFormatting>
  <hyperlinks>
    <hyperlink ref="D5" r:id="rId1" display="https://www.aikido.dev/"/>
    <hyperlink ref="L5" r:id="rId2" display="https://www.aikido.dev/features/autofix"/>
    <hyperlink ref="D6" r:id="rId3" display="https://amplify.security/"/>
    <hyperlink ref="L6" r:id="rId4" display="https://amplify.security/"/>
    <hyperlink ref="D7" r:id="rId5" display="https://www.arnica.io/"/>
    <hyperlink ref="L7" r:id="rId6" display="https://www.arnica.io/"/>
    <hyperlink ref="D8" r:id="rId7" display="https://www.blackduck.com/static-analysis-tools-sast/coverity.html"/>
    <hyperlink ref="L8" r:id="rId8" display="https://www.itsecurityguru.org/2026/07/14/black-duck-adds-ai-powered-triage-and-cra-ready-checks-to-coverity-static-analysis/"/>
    <hyperlink ref="D9" r:id="rId9" display="https://checkmarx.com/product/cxone-sast/"/>
    <hyperlink ref="L9" r:id="rId10" display="https://www.globenewswire.com/news-release/2026/03/16/3256259/0/en/Checkmarx-Redefines-Application-Security-for-the-Age-of-Agentic-Development.html"/>
    <hyperlink ref="D10" r:id="rId11" display="https://www.coderabbit.ai/security"/>
    <hyperlink ref="L10" r:id="rId12" display="https://www.coderabbit.ai/security"/>
    <hyperlink ref="D11" r:id="rId13" display="https://www.contrastsecurity.com/contrast-scan"/>
    <hyperlink ref="L11" r:id="rId14" display="https://docs.contrastsecurity.com/en/contrast-ai-smartfix.html"/>
    <hyperlink ref="D12" r:id="rId15" display="https://corgea.com/"/>
    <hyperlink ref="L12" r:id="rId16" display="https://corgea.com/auto-triage"/>
    <hyperlink ref="D13" r:id="rId17" display="https://cursor.com/bugbot"/>
    <hyperlink ref="L13" r:id="rId18" display="https://cursor.com/changelog"/>
    <hyperlink ref="D14" r:id="rId19" display="https://www.dryrun.security/"/>
    <hyperlink ref="L14" r:id="rId20" display="https://www.dryrun.security/product/sast"/>
    <hyperlink ref="D15" r:id="rId21" display="https://www.endorlabs.com/use-case/sast"/>
    <hyperlink ref="L15" r:id="rId22" display="https://www.prnewswire.com/news-releases/endor-labs-debuts-ai-native-multi-modal-sast-marking-a-new-era-in-code-flaw-detection-302619629.html"/>
    <hyperlink ref="D16" r:id="rId23" display="https://github.com/security/advanced-security"/>
    <hyperlink ref="L16" r:id="rId24" display="https://github.blog/changelog/2026-10-15-agentic-autofix-for-code-scanning-alerts-general-availability"/>
    <hyperlink ref="D17" r:id="rId25" display="https://www.greptile.com/"/>
    <hyperlink ref="L17" r:id="rId26" display="https://www.greptile.com/content-library/best-security-code-review-tools"/>
    <hyperlink ref="D18" r:id="rId27" display="https://www.hcl-software.com/appscan"/>
    <hyperlink ref="L18" r:id="rId28" display="https://www.hcl-software.com/appscan/products/rapidfix"/>
    <hyperlink ref="D19" r:id="rId29" display="https://www.jit.io/"/>
    <hyperlink ref="L19" r:id="rId30" display="https://www.jit.io/"/>
    <hyperlink ref="D20" r:id="rId31" display="https://www.kodemsecurity.com/platform/sast"/>
    <hyperlink ref="L20" r:id="rId32" display="https://www.kodemsecurity.com/platform/sast"/>
    <hyperlink ref="D21" r:id="rId33" display="https://www.mobb.ai/"/>
    <hyperlink ref="L21" r:id="rId34" display="https://www.mobb.ai/"/>
    <hyperlink ref="D22" r:id="rId35" display="https://www.nullify.ai/"/>
    <hyperlink ref="L22" r:id="rId36" display="https://www.nullify.ai/"/>
    <hyperlink ref="D23" r:id="rId37" display="https://www.opentext.com/products/static-application-security-testing"/>
    <hyperlink ref="L23" r:id="rId38" display="https://blogs.opentext.com/opentext-fortify-remediation-aviator-audit-every-finding-fix-whats-real/"/>
    <hyperlink ref="D24" r:id="rId39" display="https://www.pixee.ai/"/>
    <hyperlink ref="L24" r:id="rId40" display="https://www.pixee.ai/blog/veracode-alternatives"/>
    <hyperlink ref="D25" r:id="rId41" display="https://snyk.io/product/snyk-code/"/>
    <hyperlink ref="L25" r:id="rId42" display="https://docs.snyk.io/scan-fix-and-prevent/scan-with-snyk/snyk-code/manage-code-vulnerabilities/fix-code-vulnerabilities-automatically"/>
    <hyperlink ref="D26" r:id="rId43" display="https://www.veracode.com/products/static-analysis/"/>
    <hyperlink ref="L26" r:id="rId44" display="https://www.helpnetsecurity.com/2026/03/18/veracode-fix-for-sca/"/>
    <hyperlink ref="D27" r:id="rId45" display="https://zeropath.com/"/>
    <hyperlink ref="L27" r:id="rId46" display="https://zeropath.com/products/sast"/>
    <hyperlink ref="D28" r:id="rId47" display="https://bandit.readthedocs.io/"/>
    <hyperlink ref="L28" r:id="rId48" display="https://github.com/PyCQA/bandit"/>
    <hyperlink ref="D29" r:id="rId49" display="https://cycode.com/platform/sast/"/>
    <hyperlink ref="L29" r:id="rId50" display="https://www.prnewswire.com/news-releases/cycode-releases-agentic-code-scanning-and-attack-chaining-post-mythos-eras-answer-to-cost-vs-precision-tradeoff-302866093.html"/>
    <hyperlink ref="D30" r:id="rId51" display="https://brakemanscanner.org/"/>
    <hyperlink ref="L30" r:id="rId52" display="https://brakemanscanner.org/"/>
    <hyperlink ref="D31" r:id="rId53" display="https://about.gitlab.com/solutions/application-security-testing/"/>
    <hyperlink ref="L31" r:id="rId54" display="https://docs.gitlab.com/user/application_security/sast/gitlab_advanced_sast/"/>
    <hyperlink ref="D32" r:id="rId55" display="https://github.com/securego/gosec"/>
    <hyperlink ref="L32" r:id="rId56" display="https://github.com/securego/gosec"/>
    <hyperlink ref="D33" r:id="rId57" display="https://www.opengrep.dev/"/>
    <hyperlink ref="L33" r:id="rId58" display="https://www.opengrep.dev/"/>
    <hyperlink ref="D34" r:id="rId59" display="https://pmd.github.io/"/>
    <hyperlink ref="L34" r:id="rId60" display="https://github.com/pmd/pmd/releases"/>
    <hyperlink ref="D35" r:id="rId61" display="https://semgrep.dev/products/semgrep-code/"/>
    <hyperlink ref="L35" r:id="rId62" display="https://semgrep.dev/blog/2025/announcing-ai-noise-filtering-and-triage-memories/"/>
    <hyperlink ref="D36" r:id="rId63" display="https://www.sonarsource.com/products/sonarqube/"/>
    <hyperlink ref="L36" r:id="rId64" display="https://www.sonarsource.com/company/press-releases/sonarqube-server-2026-5-lta-release/"/>
    <hyperlink ref="D37" r:id="rId65" display="https://find-sec-bugs.github.io/"/>
    <hyperlink ref="L37" r:id="rId66" display="https://find-sec-bugs.github.i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1619</v>
      </c>
    </row>
    <row r="2" customFormat="false" ht="15" hidden="false" customHeight="false" outlineLevel="0" collapsed="false">
      <c r="A2" s="2" t="s">
        <v>1233</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207" hidden="false" customHeight="true" outlineLevel="0" collapsed="false">
      <c r="A5" s="11" t="n">
        <v>1</v>
      </c>
      <c r="B5" s="8" t="s">
        <v>178</v>
      </c>
      <c r="C5" s="11" t="s">
        <v>260</v>
      </c>
      <c r="D5" s="17" t="s">
        <v>1250</v>
      </c>
      <c r="E5" s="9" t="s">
        <v>1251</v>
      </c>
      <c r="F5" s="11" t="s">
        <v>261</v>
      </c>
      <c r="G5" s="11" t="s">
        <v>1620</v>
      </c>
      <c r="H5" s="11" t="s">
        <v>1621</v>
      </c>
      <c r="I5" s="11" t="s">
        <v>1622</v>
      </c>
      <c r="J5" s="11" t="s">
        <v>847</v>
      </c>
      <c r="K5" s="9" t="s">
        <v>181</v>
      </c>
      <c r="L5" s="17" t="s">
        <v>848</v>
      </c>
      <c r="M5" s="11" t="s">
        <v>1623</v>
      </c>
      <c r="N5" s="11" t="s">
        <v>1624</v>
      </c>
      <c r="O5" s="11" t="s">
        <v>1625</v>
      </c>
      <c r="P5" s="11" t="s">
        <v>1626</v>
      </c>
      <c r="Q5" s="11" t="s">
        <v>1627</v>
      </c>
      <c r="R5" s="11" t="s">
        <v>1628</v>
      </c>
      <c r="S5" s="9" t="s">
        <v>1261</v>
      </c>
      <c r="T5" s="11" t="s">
        <v>1629</v>
      </c>
      <c r="U5" s="11" t="s">
        <v>1630</v>
      </c>
      <c r="V5" s="9" t="s">
        <v>797</v>
      </c>
      <c r="W5" s="11" t="s">
        <v>1631</v>
      </c>
    </row>
    <row r="6" customFormat="false" ht="109.5" hidden="false" customHeight="true" outlineLevel="0" collapsed="false">
      <c r="A6" s="11" t="n">
        <v>2</v>
      </c>
      <c r="B6" s="8" t="s">
        <v>262</v>
      </c>
      <c r="C6" s="11" t="s">
        <v>263</v>
      </c>
      <c r="D6" s="17" t="s">
        <v>1632</v>
      </c>
      <c r="E6" s="9" t="s">
        <v>1276</v>
      </c>
      <c r="F6" s="11" t="s">
        <v>183</v>
      </c>
      <c r="G6" s="11" t="s">
        <v>1633</v>
      </c>
      <c r="H6" s="11" t="s">
        <v>1634</v>
      </c>
      <c r="I6" s="11" t="s">
        <v>1635</v>
      </c>
      <c r="J6" s="11" t="s">
        <v>849</v>
      </c>
      <c r="K6" s="9" t="s">
        <v>264</v>
      </c>
      <c r="L6" s="17" t="s">
        <v>850</v>
      </c>
      <c r="M6" s="11" t="s">
        <v>1636</v>
      </c>
      <c r="N6" s="11" t="s">
        <v>1636</v>
      </c>
      <c r="O6" s="11" t="s">
        <v>1637</v>
      </c>
      <c r="P6" s="11" t="s">
        <v>1638</v>
      </c>
      <c r="Q6" s="11" t="s">
        <v>1639</v>
      </c>
      <c r="R6" s="11" t="s">
        <v>1273</v>
      </c>
      <c r="S6" s="9" t="s">
        <v>233</v>
      </c>
      <c r="T6" s="11" t="s">
        <v>1640</v>
      </c>
      <c r="U6" s="11"/>
      <c r="V6" s="9" t="s">
        <v>786</v>
      </c>
      <c r="W6" s="11" t="s">
        <v>1641</v>
      </c>
    </row>
    <row r="7" customFormat="false" ht="133.5" hidden="false" customHeight="true" outlineLevel="0" collapsed="false">
      <c r="A7" s="11" t="n">
        <v>3</v>
      </c>
      <c r="B7" s="8" t="s">
        <v>185</v>
      </c>
      <c r="C7" s="11" t="s">
        <v>185</v>
      </c>
      <c r="D7" s="17" t="s">
        <v>1642</v>
      </c>
      <c r="E7" s="9" t="s">
        <v>1251</v>
      </c>
      <c r="F7" s="11" t="s">
        <v>183</v>
      </c>
      <c r="G7" s="11" t="s">
        <v>1643</v>
      </c>
      <c r="H7" s="11" t="s">
        <v>1644</v>
      </c>
      <c r="I7" s="11" t="s">
        <v>1645</v>
      </c>
      <c r="J7" s="11" t="s">
        <v>851</v>
      </c>
      <c r="K7" s="9" t="s">
        <v>181</v>
      </c>
      <c r="L7" s="17" t="s">
        <v>852</v>
      </c>
      <c r="M7" s="11" t="s">
        <v>1646</v>
      </c>
      <c r="N7" s="11" t="s">
        <v>1647</v>
      </c>
      <c r="O7" s="11" t="s">
        <v>1648</v>
      </c>
      <c r="P7" s="11" t="s">
        <v>1649</v>
      </c>
      <c r="Q7" s="11" t="s">
        <v>1650</v>
      </c>
      <c r="R7" s="11" t="s">
        <v>1651</v>
      </c>
      <c r="S7" s="9" t="s">
        <v>1261</v>
      </c>
      <c r="T7" s="11" t="s">
        <v>1652</v>
      </c>
      <c r="U7" s="11"/>
      <c r="V7" s="9" t="s">
        <v>786</v>
      </c>
      <c r="W7" s="11" t="s">
        <v>1653</v>
      </c>
    </row>
    <row r="8" customFormat="false" ht="255.75" hidden="false" customHeight="true" outlineLevel="0" collapsed="false">
      <c r="A8" s="11" t="n">
        <v>4</v>
      </c>
      <c r="B8" s="8" t="s">
        <v>81</v>
      </c>
      <c r="C8" s="11" t="s">
        <v>187</v>
      </c>
      <c r="D8" s="17" t="s">
        <v>962</v>
      </c>
      <c r="E8" s="9" t="s">
        <v>1251</v>
      </c>
      <c r="F8" s="11" t="s">
        <v>183</v>
      </c>
      <c r="G8" s="11" t="s">
        <v>1654</v>
      </c>
      <c r="H8" s="11" t="s">
        <v>1655</v>
      </c>
      <c r="I8" s="11" t="s">
        <v>1656</v>
      </c>
      <c r="J8" s="11" t="s">
        <v>853</v>
      </c>
      <c r="K8" s="9" t="s">
        <v>181</v>
      </c>
      <c r="L8" s="17" t="s">
        <v>854</v>
      </c>
      <c r="M8" s="11" t="s">
        <v>1657</v>
      </c>
      <c r="N8" s="11" t="s">
        <v>1658</v>
      </c>
      <c r="O8" s="11" t="s">
        <v>1659</v>
      </c>
      <c r="P8" s="11" t="s">
        <v>1660</v>
      </c>
      <c r="Q8" s="11" t="s">
        <v>1661</v>
      </c>
      <c r="R8" s="11" t="s">
        <v>1662</v>
      </c>
      <c r="S8" s="9" t="s">
        <v>1296</v>
      </c>
      <c r="T8" s="11" t="s">
        <v>1663</v>
      </c>
      <c r="U8" s="11" t="s">
        <v>1664</v>
      </c>
      <c r="V8" s="9" t="s">
        <v>789</v>
      </c>
      <c r="W8" s="11" t="s">
        <v>1665</v>
      </c>
    </row>
    <row r="9" customFormat="false" ht="183" hidden="false" customHeight="true" outlineLevel="0" collapsed="false">
      <c r="A9" s="11" t="n">
        <v>5</v>
      </c>
      <c r="B9" s="8" t="s">
        <v>265</v>
      </c>
      <c r="C9" s="11" t="s">
        <v>266</v>
      </c>
      <c r="D9" s="17" t="s">
        <v>1666</v>
      </c>
      <c r="E9" s="9" t="s">
        <v>1251</v>
      </c>
      <c r="F9" s="11" t="s">
        <v>267</v>
      </c>
      <c r="G9" s="11" t="s">
        <v>1667</v>
      </c>
      <c r="H9" s="11" t="s">
        <v>1668</v>
      </c>
      <c r="I9" s="11" t="s">
        <v>1669</v>
      </c>
      <c r="J9" s="11" t="s">
        <v>855</v>
      </c>
      <c r="K9" s="9" t="s">
        <v>233</v>
      </c>
      <c r="L9" s="17" t="s">
        <v>856</v>
      </c>
      <c r="M9" s="11" t="s">
        <v>1670</v>
      </c>
      <c r="N9" s="11" t="s">
        <v>1671</v>
      </c>
      <c r="O9" s="11" t="s">
        <v>1672</v>
      </c>
      <c r="P9" s="11" t="s">
        <v>1673</v>
      </c>
      <c r="Q9" s="11" t="s">
        <v>1674</v>
      </c>
      <c r="R9" s="11" t="s">
        <v>1675</v>
      </c>
      <c r="S9" s="9" t="s">
        <v>1296</v>
      </c>
      <c r="T9" s="11" t="s">
        <v>1676</v>
      </c>
      <c r="U9" s="11" t="s">
        <v>1677</v>
      </c>
      <c r="V9" s="9" t="s">
        <v>789</v>
      </c>
      <c r="W9" s="11" t="s">
        <v>1678</v>
      </c>
    </row>
    <row r="10" customFormat="false" ht="195" hidden="false" customHeight="true" outlineLevel="0" collapsed="false">
      <c r="A10" s="11" t="n">
        <v>6</v>
      </c>
      <c r="B10" s="8" t="s">
        <v>268</v>
      </c>
      <c r="C10" s="11" t="s">
        <v>269</v>
      </c>
      <c r="D10" s="17" t="s">
        <v>1679</v>
      </c>
      <c r="E10" s="9" t="s">
        <v>1251</v>
      </c>
      <c r="F10" s="11" t="s">
        <v>183</v>
      </c>
      <c r="G10" s="11" t="s">
        <v>1680</v>
      </c>
      <c r="H10" s="11" t="s">
        <v>1681</v>
      </c>
      <c r="I10" s="11" t="s">
        <v>1682</v>
      </c>
      <c r="J10" s="11" t="s">
        <v>857</v>
      </c>
      <c r="K10" s="9" t="s">
        <v>181</v>
      </c>
      <c r="L10" s="17" t="s">
        <v>858</v>
      </c>
      <c r="M10" s="11" t="s">
        <v>1683</v>
      </c>
      <c r="N10" s="11" t="s">
        <v>1684</v>
      </c>
      <c r="O10" s="11" t="s">
        <v>1685</v>
      </c>
      <c r="P10" s="11" t="s">
        <v>1686</v>
      </c>
      <c r="Q10" s="11" t="s">
        <v>1687</v>
      </c>
      <c r="R10" s="11" t="s">
        <v>1688</v>
      </c>
      <c r="S10" s="9" t="s">
        <v>1296</v>
      </c>
      <c r="T10" s="11" t="s">
        <v>1689</v>
      </c>
      <c r="U10" s="11" t="s">
        <v>1690</v>
      </c>
      <c r="V10" s="9" t="s">
        <v>789</v>
      </c>
      <c r="W10" s="11" t="s">
        <v>1691</v>
      </c>
    </row>
    <row r="11" customFormat="false" ht="133.5" hidden="false" customHeight="true" outlineLevel="0" collapsed="false">
      <c r="A11" s="11" t="n">
        <v>7</v>
      </c>
      <c r="B11" s="8" t="s">
        <v>270</v>
      </c>
      <c r="C11" s="11" t="s">
        <v>271</v>
      </c>
      <c r="D11" s="17" t="s">
        <v>1692</v>
      </c>
      <c r="E11" s="9" t="s">
        <v>1251</v>
      </c>
      <c r="F11" s="11" t="s">
        <v>183</v>
      </c>
      <c r="G11" s="11" t="s">
        <v>1693</v>
      </c>
      <c r="H11" s="11" t="s">
        <v>1694</v>
      </c>
      <c r="I11" s="11" t="s">
        <v>1695</v>
      </c>
      <c r="J11" s="11" t="s">
        <v>859</v>
      </c>
      <c r="K11" s="9" t="s">
        <v>272</v>
      </c>
      <c r="L11" s="17" t="s">
        <v>860</v>
      </c>
      <c r="M11" s="11" t="s">
        <v>1696</v>
      </c>
      <c r="N11" s="11" t="s">
        <v>1697</v>
      </c>
      <c r="O11" s="11" t="s">
        <v>1698</v>
      </c>
      <c r="P11" s="11" t="s">
        <v>1699</v>
      </c>
      <c r="Q11" s="11" t="s">
        <v>1700</v>
      </c>
      <c r="R11" s="11" t="s">
        <v>1273</v>
      </c>
      <c r="S11" s="9" t="s">
        <v>233</v>
      </c>
      <c r="T11" s="11" t="s">
        <v>1701</v>
      </c>
      <c r="U11" s="11" t="s">
        <v>1702</v>
      </c>
      <c r="V11" s="9" t="s">
        <v>797</v>
      </c>
      <c r="W11" s="11" t="s">
        <v>1703</v>
      </c>
    </row>
    <row r="12" customFormat="false" ht="109.5" hidden="false" customHeight="true" outlineLevel="0" collapsed="false">
      <c r="A12" s="11" t="n">
        <v>8</v>
      </c>
      <c r="B12" s="8" t="s">
        <v>273</v>
      </c>
      <c r="C12" s="11" t="s">
        <v>274</v>
      </c>
      <c r="D12" s="17" t="s">
        <v>1704</v>
      </c>
      <c r="E12" s="9" t="s">
        <v>1276</v>
      </c>
      <c r="F12" s="11" t="s">
        <v>183</v>
      </c>
      <c r="G12" s="11" t="s">
        <v>1705</v>
      </c>
      <c r="H12" s="11" t="s">
        <v>1706</v>
      </c>
      <c r="I12" s="11" t="s">
        <v>1707</v>
      </c>
      <c r="J12" s="11" t="s">
        <v>861</v>
      </c>
      <c r="K12" s="9" t="s">
        <v>275</v>
      </c>
      <c r="L12" s="17" t="s">
        <v>862</v>
      </c>
      <c r="M12" s="11" t="s">
        <v>1708</v>
      </c>
      <c r="N12" s="11" t="s">
        <v>1709</v>
      </c>
      <c r="O12" s="11" t="s">
        <v>1637</v>
      </c>
      <c r="P12" s="11" t="s">
        <v>1710</v>
      </c>
      <c r="Q12" s="11" t="s">
        <v>1711</v>
      </c>
      <c r="R12" s="11" t="s">
        <v>1273</v>
      </c>
      <c r="S12" s="9" t="s">
        <v>233</v>
      </c>
      <c r="T12" s="11" t="s">
        <v>1712</v>
      </c>
      <c r="U12" s="11" t="s">
        <v>1713</v>
      </c>
      <c r="V12" s="9" t="s">
        <v>789</v>
      </c>
      <c r="W12" s="11" t="s">
        <v>1714</v>
      </c>
    </row>
    <row r="13" customFormat="false" ht="219" hidden="false" customHeight="true" outlineLevel="0" collapsed="false">
      <c r="A13" s="11" t="n">
        <v>9</v>
      </c>
      <c r="B13" s="8" t="s">
        <v>86</v>
      </c>
      <c r="C13" s="11" t="s">
        <v>86</v>
      </c>
      <c r="D13" s="17" t="s">
        <v>1715</v>
      </c>
      <c r="E13" s="9" t="s">
        <v>1251</v>
      </c>
      <c r="F13" s="11" t="s">
        <v>276</v>
      </c>
      <c r="G13" s="11" t="s">
        <v>1716</v>
      </c>
      <c r="H13" s="11" t="s">
        <v>1717</v>
      </c>
      <c r="I13" s="11" t="s">
        <v>1718</v>
      </c>
      <c r="J13" s="11" t="s">
        <v>863</v>
      </c>
      <c r="K13" s="9" t="s">
        <v>181</v>
      </c>
      <c r="L13" s="17" t="s">
        <v>864</v>
      </c>
      <c r="M13" s="11" t="s">
        <v>1719</v>
      </c>
      <c r="N13" s="11" t="s">
        <v>1720</v>
      </c>
      <c r="O13" s="11" t="s">
        <v>1721</v>
      </c>
      <c r="P13" s="11" t="s">
        <v>1722</v>
      </c>
      <c r="Q13" s="11" t="s">
        <v>1723</v>
      </c>
      <c r="R13" s="11" t="s">
        <v>1724</v>
      </c>
      <c r="S13" s="9" t="s">
        <v>1296</v>
      </c>
      <c r="T13" s="11" t="s">
        <v>1725</v>
      </c>
      <c r="U13" s="11" t="s">
        <v>1726</v>
      </c>
      <c r="V13" s="9" t="s">
        <v>789</v>
      </c>
      <c r="W13" s="11" t="s">
        <v>1727</v>
      </c>
    </row>
    <row r="14" customFormat="false" ht="109.5" hidden="false" customHeight="true" outlineLevel="0" collapsed="false">
      <c r="A14" s="11" t="n">
        <v>10</v>
      </c>
      <c r="B14" s="8" t="s">
        <v>277</v>
      </c>
      <c r="C14" s="11" t="s">
        <v>277</v>
      </c>
      <c r="D14" s="17" t="s">
        <v>1728</v>
      </c>
      <c r="E14" s="9" t="s">
        <v>1251</v>
      </c>
      <c r="F14" s="11" t="s">
        <v>278</v>
      </c>
      <c r="G14" s="11" t="s">
        <v>1729</v>
      </c>
      <c r="H14" s="11" t="s">
        <v>1730</v>
      </c>
      <c r="I14" s="11" t="s">
        <v>1731</v>
      </c>
      <c r="J14" s="11" t="s">
        <v>865</v>
      </c>
      <c r="K14" s="9" t="s">
        <v>279</v>
      </c>
      <c r="L14" s="17" t="s">
        <v>866</v>
      </c>
      <c r="M14" s="11" t="s">
        <v>1732</v>
      </c>
      <c r="N14" s="11" t="s">
        <v>1733</v>
      </c>
      <c r="O14" s="11" t="s">
        <v>1734</v>
      </c>
      <c r="P14" s="11" t="s">
        <v>1735</v>
      </c>
      <c r="Q14" s="11" t="s">
        <v>1736</v>
      </c>
      <c r="R14" s="11" t="s">
        <v>1737</v>
      </c>
      <c r="S14" s="9" t="s">
        <v>1261</v>
      </c>
      <c r="T14" s="11" t="s">
        <v>1738</v>
      </c>
      <c r="U14" s="11"/>
      <c r="V14" s="9" t="s">
        <v>797</v>
      </c>
      <c r="W14" s="11" t="s">
        <v>1739</v>
      </c>
    </row>
    <row r="15" customFormat="false" ht="300" hidden="false" customHeight="true" outlineLevel="0" collapsed="false">
      <c r="A15" s="11" t="n">
        <v>11</v>
      </c>
      <c r="B15" s="8" t="s">
        <v>280</v>
      </c>
      <c r="C15" s="11" t="s">
        <v>202</v>
      </c>
      <c r="D15" s="17" t="s">
        <v>1740</v>
      </c>
      <c r="E15" s="9" t="s">
        <v>1251</v>
      </c>
      <c r="F15" s="11" t="s">
        <v>281</v>
      </c>
      <c r="G15" s="11" t="s">
        <v>1741</v>
      </c>
      <c r="H15" s="11" t="s">
        <v>1742</v>
      </c>
      <c r="I15" s="11" t="s">
        <v>1743</v>
      </c>
      <c r="J15" s="11" t="s">
        <v>867</v>
      </c>
      <c r="K15" s="9" t="s">
        <v>181</v>
      </c>
      <c r="L15" s="17" t="s">
        <v>868</v>
      </c>
      <c r="M15" s="11" t="s">
        <v>1744</v>
      </c>
      <c r="N15" s="11" t="s">
        <v>1745</v>
      </c>
      <c r="O15" s="11" t="s">
        <v>1746</v>
      </c>
      <c r="P15" s="11" t="s">
        <v>1747</v>
      </c>
      <c r="Q15" s="11" t="s">
        <v>1748</v>
      </c>
      <c r="R15" s="11" t="s">
        <v>1749</v>
      </c>
      <c r="S15" s="9" t="s">
        <v>1261</v>
      </c>
      <c r="T15" s="11" t="s">
        <v>1750</v>
      </c>
      <c r="U15" s="11" t="s">
        <v>1751</v>
      </c>
      <c r="V15" s="9" t="s">
        <v>789</v>
      </c>
      <c r="W15" s="11" t="s">
        <v>1752</v>
      </c>
    </row>
    <row r="16" customFormat="false" ht="170.25" hidden="false" customHeight="true" outlineLevel="0" collapsed="false">
      <c r="A16" s="11" t="n">
        <v>12</v>
      </c>
      <c r="B16" s="8" t="s">
        <v>282</v>
      </c>
      <c r="C16" s="11" t="s">
        <v>283</v>
      </c>
      <c r="D16" s="17" t="s">
        <v>870</v>
      </c>
      <c r="E16" s="9" t="s">
        <v>1251</v>
      </c>
      <c r="F16" s="11" t="s">
        <v>183</v>
      </c>
      <c r="G16" s="11" t="s">
        <v>1753</v>
      </c>
      <c r="H16" s="11" t="s">
        <v>1754</v>
      </c>
      <c r="I16" s="11" t="s">
        <v>1755</v>
      </c>
      <c r="J16" s="11" t="s">
        <v>869</v>
      </c>
      <c r="K16" s="9" t="s">
        <v>284</v>
      </c>
      <c r="L16" s="17" t="s">
        <v>870</v>
      </c>
      <c r="M16" s="11" t="s">
        <v>1756</v>
      </c>
      <c r="N16" s="11" t="s">
        <v>1757</v>
      </c>
      <c r="O16" s="11" t="s">
        <v>1758</v>
      </c>
      <c r="P16" s="11" t="s">
        <v>1759</v>
      </c>
      <c r="Q16" s="11" t="s">
        <v>1760</v>
      </c>
      <c r="R16" s="11" t="s">
        <v>1273</v>
      </c>
      <c r="S16" s="9" t="s">
        <v>233</v>
      </c>
      <c r="T16" s="11" t="s">
        <v>1761</v>
      </c>
      <c r="U16" s="11" t="s">
        <v>1762</v>
      </c>
      <c r="V16" s="9" t="s">
        <v>789</v>
      </c>
      <c r="W16" s="11" t="s">
        <v>1763</v>
      </c>
    </row>
    <row r="17" customFormat="false" ht="280.5" hidden="false" customHeight="true" outlineLevel="0" collapsed="false">
      <c r="A17" s="11" t="n">
        <v>13</v>
      </c>
      <c r="B17" s="8" t="s">
        <v>285</v>
      </c>
      <c r="C17" s="11" t="s">
        <v>286</v>
      </c>
      <c r="D17" s="17" t="s">
        <v>1764</v>
      </c>
      <c r="E17" s="9" t="s">
        <v>1251</v>
      </c>
      <c r="F17" s="11" t="s">
        <v>183</v>
      </c>
      <c r="G17" s="11" t="s">
        <v>1765</v>
      </c>
      <c r="H17" s="11" t="s">
        <v>1766</v>
      </c>
      <c r="I17" s="11" t="s">
        <v>1767</v>
      </c>
      <c r="J17" s="11" t="s">
        <v>871</v>
      </c>
      <c r="K17" s="9" t="s">
        <v>181</v>
      </c>
      <c r="L17" s="17" t="s">
        <v>872</v>
      </c>
      <c r="M17" s="11" t="s">
        <v>1768</v>
      </c>
      <c r="N17" s="11" t="s">
        <v>1769</v>
      </c>
      <c r="O17" s="11" t="s">
        <v>1770</v>
      </c>
      <c r="P17" s="11" t="s">
        <v>1771</v>
      </c>
      <c r="Q17" s="11" t="s">
        <v>1772</v>
      </c>
      <c r="R17" s="11" t="s">
        <v>1773</v>
      </c>
      <c r="S17" s="9" t="s">
        <v>1296</v>
      </c>
      <c r="T17" s="11" t="s">
        <v>1774</v>
      </c>
      <c r="U17" s="11" t="s">
        <v>1775</v>
      </c>
      <c r="V17" s="9" t="s">
        <v>789</v>
      </c>
      <c r="W17" s="11" t="s">
        <v>1776</v>
      </c>
    </row>
    <row r="18" customFormat="false" ht="133.5" hidden="false" customHeight="true" outlineLevel="0" collapsed="false">
      <c r="A18" s="11" t="n">
        <v>14</v>
      </c>
      <c r="B18" s="8" t="s">
        <v>287</v>
      </c>
      <c r="C18" s="11" t="s">
        <v>288</v>
      </c>
      <c r="D18" s="17" t="s">
        <v>1777</v>
      </c>
      <c r="E18" s="9" t="s">
        <v>1276</v>
      </c>
      <c r="F18" s="11" t="s">
        <v>183</v>
      </c>
      <c r="G18" s="11" t="s">
        <v>1778</v>
      </c>
      <c r="H18" s="11" t="s">
        <v>1779</v>
      </c>
      <c r="I18" s="11" t="s">
        <v>1780</v>
      </c>
      <c r="J18" s="11" t="s">
        <v>873</v>
      </c>
      <c r="K18" s="9" t="s">
        <v>289</v>
      </c>
      <c r="L18" s="17" t="s">
        <v>874</v>
      </c>
      <c r="M18" s="11" t="s">
        <v>1781</v>
      </c>
      <c r="N18" s="11" t="s">
        <v>1782</v>
      </c>
      <c r="O18" s="11" t="s">
        <v>1637</v>
      </c>
      <c r="P18" s="11" t="s">
        <v>1783</v>
      </c>
      <c r="Q18" s="11" t="s">
        <v>1639</v>
      </c>
      <c r="R18" s="11" t="s">
        <v>1273</v>
      </c>
      <c r="S18" s="9" t="s">
        <v>233</v>
      </c>
      <c r="T18" s="11" t="s">
        <v>1784</v>
      </c>
      <c r="U18" s="11" t="s">
        <v>1785</v>
      </c>
      <c r="V18" s="9" t="s">
        <v>797</v>
      </c>
      <c r="W18" s="11" t="s">
        <v>1786</v>
      </c>
    </row>
    <row r="19" customFormat="false" ht="84.75" hidden="false" customHeight="true" outlineLevel="0" collapsed="false">
      <c r="A19" s="11" t="n">
        <v>15</v>
      </c>
      <c r="B19" s="8" t="s">
        <v>290</v>
      </c>
      <c r="C19" s="11" t="s">
        <v>291</v>
      </c>
      <c r="D19" s="17" t="s">
        <v>1787</v>
      </c>
      <c r="E19" s="9" t="s">
        <v>1251</v>
      </c>
      <c r="F19" s="11" t="s">
        <v>183</v>
      </c>
      <c r="G19" s="11" t="s">
        <v>1788</v>
      </c>
      <c r="H19" s="11" t="s">
        <v>1789</v>
      </c>
      <c r="I19" s="11" t="s">
        <v>1790</v>
      </c>
      <c r="J19" s="11" t="s">
        <v>875</v>
      </c>
      <c r="K19" s="9" t="s">
        <v>292</v>
      </c>
      <c r="L19" s="17" t="s">
        <v>876</v>
      </c>
      <c r="M19" s="11" t="s">
        <v>1791</v>
      </c>
      <c r="N19" s="11" t="s">
        <v>1792</v>
      </c>
      <c r="O19" s="11" t="s">
        <v>1793</v>
      </c>
      <c r="P19" s="11" t="s">
        <v>1794</v>
      </c>
      <c r="Q19" s="11" t="s">
        <v>1795</v>
      </c>
      <c r="R19" s="11" t="s">
        <v>1273</v>
      </c>
      <c r="S19" s="9" t="s">
        <v>233</v>
      </c>
      <c r="T19" s="11" t="s">
        <v>1796</v>
      </c>
      <c r="U19" s="11"/>
      <c r="V19" s="9" t="s">
        <v>786</v>
      </c>
      <c r="W19" s="11" t="s">
        <v>1797</v>
      </c>
    </row>
    <row r="20" customFormat="false" ht="158.25" hidden="false" customHeight="true" outlineLevel="0" collapsed="false">
      <c r="A20" s="11" t="n">
        <v>16</v>
      </c>
      <c r="B20" s="8" t="s">
        <v>293</v>
      </c>
      <c r="C20" s="11" t="s">
        <v>294</v>
      </c>
      <c r="D20" s="17" t="s">
        <v>1798</v>
      </c>
      <c r="E20" s="9" t="s">
        <v>1251</v>
      </c>
      <c r="F20" s="11" t="s">
        <v>295</v>
      </c>
      <c r="G20" s="11" t="s">
        <v>1799</v>
      </c>
      <c r="H20" s="11" t="s">
        <v>1800</v>
      </c>
      <c r="I20" s="11" t="s">
        <v>1801</v>
      </c>
      <c r="J20" s="11" t="s">
        <v>877</v>
      </c>
      <c r="K20" s="9" t="s">
        <v>181</v>
      </c>
      <c r="L20" s="17" t="s">
        <v>878</v>
      </c>
      <c r="M20" s="11" t="s">
        <v>1802</v>
      </c>
      <c r="N20" s="11" t="s">
        <v>1803</v>
      </c>
      <c r="O20" s="11" t="s">
        <v>1804</v>
      </c>
      <c r="P20" s="11" t="s">
        <v>1805</v>
      </c>
      <c r="Q20" s="11" t="s">
        <v>1806</v>
      </c>
      <c r="R20" s="11" t="s">
        <v>1807</v>
      </c>
      <c r="S20" s="9" t="s">
        <v>1296</v>
      </c>
      <c r="T20" s="11" t="s">
        <v>1808</v>
      </c>
      <c r="U20" s="11" t="s">
        <v>1809</v>
      </c>
      <c r="V20" s="9" t="s">
        <v>789</v>
      </c>
      <c r="W20" s="11" t="s">
        <v>1810</v>
      </c>
    </row>
    <row r="21" customFormat="false" ht="158.25" hidden="false" customHeight="true" outlineLevel="0" collapsed="false">
      <c r="A21" s="11" t="n">
        <v>17</v>
      </c>
      <c r="B21" s="8" t="s">
        <v>296</v>
      </c>
      <c r="C21" s="11" t="s">
        <v>297</v>
      </c>
      <c r="D21" s="17" t="s">
        <v>1811</v>
      </c>
      <c r="E21" s="9" t="s">
        <v>1251</v>
      </c>
      <c r="F21" s="11" t="s">
        <v>183</v>
      </c>
      <c r="G21" s="11" t="s">
        <v>1812</v>
      </c>
      <c r="H21" s="11" t="s">
        <v>1813</v>
      </c>
      <c r="I21" s="11" t="s">
        <v>1814</v>
      </c>
      <c r="J21" s="11" t="s">
        <v>879</v>
      </c>
      <c r="K21" s="9" t="s">
        <v>298</v>
      </c>
      <c r="L21" s="17" t="s">
        <v>880</v>
      </c>
      <c r="M21" s="11" t="s">
        <v>1815</v>
      </c>
      <c r="N21" s="11" t="s">
        <v>1816</v>
      </c>
      <c r="O21" s="11" t="s">
        <v>1817</v>
      </c>
      <c r="P21" s="11" t="s">
        <v>1818</v>
      </c>
      <c r="Q21" s="11" t="s">
        <v>1819</v>
      </c>
      <c r="R21" s="11" t="s">
        <v>1273</v>
      </c>
      <c r="S21" s="9" t="s">
        <v>233</v>
      </c>
      <c r="T21" s="11" t="s">
        <v>1820</v>
      </c>
      <c r="U21" s="11"/>
      <c r="V21" s="9" t="s">
        <v>786</v>
      </c>
      <c r="W21" s="11" t="s">
        <v>1821</v>
      </c>
    </row>
    <row r="22" customFormat="false" ht="97.5" hidden="false" customHeight="true" outlineLevel="0" collapsed="false">
      <c r="A22" s="11" t="n">
        <v>18</v>
      </c>
      <c r="B22" s="8" t="s">
        <v>299</v>
      </c>
      <c r="C22" s="11" t="s">
        <v>300</v>
      </c>
      <c r="D22" s="17" t="s">
        <v>894</v>
      </c>
      <c r="E22" s="9" t="s">
        <v>1251</v>
      </c>
      <c r="F22" s="11" t="s">
        <v>183</v>
      </c>
      <c r="G22" s="11" t="s">
        <v>1822</v>
      </c>
      <c r="H22" s="11" t="s">
        <v>1823</v>
      </c>
      <c r="I22" s="11" t="s">
        <v>1824</v>
      </c>
      <c r="J22" s="11" t="s">
        <v>881</v>
      </c>
      <c r="K22" s="9" t="s">
        <v>181</v>
      </c>
      <c r="L22" s="17" t="s">
        <v>882</v>
      </c>
      <c r="M22" s="11" t="s">
        <v>1825</v>
      </c>
      <c r="N22" s="11" t="s">
        <v>1826</v>
      </c>
      <c r="O22" s="11" t="s">
        <v>1827</v>
      </c>
      <c r="P22" s="11" t="s">
        <v>1828</v>
      </c>
      <c r="Q22" s="11" t="s">
        <v>1829</v>
      </c>
      <c r="R22" s="11" t="s">
        <v>1273</v>
      </c>
      <c r="S22" s="9" t="s">
        <v>233</v>
      </c>
      <c r="T22" s="11" t="s">
        <v>1830</v>
      </c>
      <c r="U22" s="11"/>
      <c r="V22" s="9" t="s">
        <v>789</v>
      </c>
      <c r="W22" s="11" t="s">
        <v>1831</v>
      </c>
    </row>
    <row r="23" customFormat="false" ht="97.5" hidden="false" customHeight="true" outlineLevel="0" collapsed="false">
      <c r="A23" s="11" t="n">
        <v>19</v>
      </c>
      <c r="B23" s="8" t="s">
        <v>301</v>
      </c>
      <c r="C23" s="11" t="s">
        <v>302</v>
      </c>
      <c r="D23" s="17" t="s">
        <v>1832</v>
      </c>
      <c r="E23" s="9" t="s">
        <v>1251</v>
      </c>
      <c r="F23" s="11" t="s">
        <v>183</v>
      </c>
      <c r="G23" s="11" t="s">
        <v>1833</v>
      </c>
      <c r="H23" s="11" t="s">
        <v>1834</v>
      </c>
      <c r="I23" s="11" t="s">
        <v>1835</v>
      </c>
      <c r="J23" s="11" t="s">
        <v>883</v>
      </c>
      <c r="K23" s="9" t="s">
        <v>279</v>
      </c>
      <c r="L23" s="17" t="s">
        <v>884</v>
      </c>
      <c r="M23" s="11" t="s">
        <v>1836</v>
      </c>
      <c r="N23" s="11" t="s">
        <v>1837</v>
      </c>
      <c r="O23" s="11" t="s">
        <v>1637</v>
      </c>
      <c r="P23" s="11" t="s">
        <v>1838</v>
      </c>
      <c r="Q23" s="11" t="s">
        <v>1839</v>
      </c>
      <c r="R23" s="11" t="s">
        <v>1840</v>
      </c>
      <c r="S23" s="9" t="s">
        <v>1296</v>
      </c>
      <c r="T23" s="11" t="s">
        <v>1841</v>
      </c>
      <c r="U23" s="11"/>
      <c r="V23" s="9" t="s">
        <v>786</v>
      </c>
      <c r="W23" s="11" t="s">
        <v>1842</v>
      </c>
    </row>
    <row r="24" customFormat="false" ht="158.25" hidden="false" customHeight="true" outlineLevel="0" collapsed="false">
      <c r="A24" s="11" t="n">
        <v>20</v>
      </c>
      <c r="B24" s="8" t="s">
        <v>303</v>
      </c>
      <c r="C24" s="11" t="s">
        <v>304</v>
      </c>
      <c r="D24" s="17" t="s">
        <v>1843</v>
      </c>
      <c r="E24" s="9" t="s">
        <v>1251</v>
      </c>
      <c r="F24" s="11" t="s">
        <v>305</v>
      </c>
      <c r="G24" s="11" t="s">
        <v>1844</v>
      </c>
      <c r="H24" s="11" t="s">
        <v>1845</v>
      </c>
      <c r="I24" s="11" t="s">
        <v>1846</v>
      </c>
      <c r="J24" s="11" t="s">
        <v>885</v>
      </c>
      <c r="K24" s="9" t="s">
        <v>181</v>
      </c>
      <c r="L24" s="17" t="s">
        <v>886</v>
      </c>
      <c r="M24" s="11" t="s">
        <v>1847</v>
      </c>
      <c r="N24" s="11" t="s">
        <v>1848</v>
      </c>
      <c r="O24" s="11" t="s">
        <v>1849</v>
      </c>
      <c r="P24" s="11" t="s">
        <v>1850</v>
      </c>
      <c r="Q24" s="11" t="s">
        <v>1851</v>
      </c>
      <c r="R24" s="11" t="s">
        <v>1852</v>
      </c>
      <c r="S24" s="9" t="s">
        <v>1261</v>
      </c>
      <c r="T24" s="11" t="s">
        <v>1853</v>
      </c>
      <c r="U24" s="11" t="s">
        <v>1854</v>
      </c>
      <c r="V24" s="9" t="s">
        <v>789</v>
      </c>
      <c r="W24" s="11" t="s">
        <v>1855</v>
      </c>
    </row>
    <row r="25" customFormat="false" ht="300" hidden="false" customHeight="true" outlineLevel="0" collapsed="false">
      <c r="A25" s="11" t="n">
        <v>21</v>
      </c>
      <c r="B25" s="8" t="s">
        <v>306</v>
      </c>
      <c r="C25" s="11" t="s">
        <v>225</v>
      </c>
      <c r="D25" s="17" t="s">
        <v>1856</v>
      </c>
      <c r="E25" s="9" t="s">
        <v>1251</v>
      </c>
      <c r="F25" s="11" t="s">
        <v>183</v>
      </c>
      <c r="G25" s="11" t="s">
        <v>1857</v>
      </c>
      <c r="H25" s="11" t="s">
        <v>1858</v>
      </c>
      <c r="I25" s="11" t="s">
        <v>1859</v>
      </c>
      <c r="J25" s="11" t="s">
        <v>887</v>
      </c>
      <c r="K25" s="9" t="s">
        <v>181</v>
      </c>
      <c r="L25" s="17" t="s">
        <v>888</v>
      </c>
      <c r="M25" s="11" t="s">
        <v>1860</v>
      </c>
      <c r="N25" s="11" t="s">
        <v>1861</v>
      </c>
      <c r="O25" s="11" t="s">
        <v>1862</v>
      </c>
      <c r="P25" s="11" t="s">
        <v>1863</v>
      </c>
      <c r="Q25" s="11" t="s">
        <v>1864</v>
      </c>
      <c r="R25" s="11" t="s">
        <v>1865</v>
      </c>
      <c r="S25" s="9" t="s">
        <v>1310</v>
      </c>
      <c r="T25" s="11" t="s">
        <v>1866</v>
      </c>
      <c r="U25" s="11" t="s">
        <v>1867</v>
      </c>
      <c r="V25" s="9" t="s">
        <v>789</v>
      </c>
      <c r="W25" s="11" t="s">
        <v>1868</v>
      </c>
    </row>
    <row r="26" customFormat="false" ht="195" hidden="false" customHeight="true" outlineLevel="0" collapsed="false">
      <c r="A26" s="11" t="n">
        <v>22</v>
      </c>
      <c r="B26" s="8" t="s">
        <v>307</v>
      </c>
      <c r="C26" s="11" t="s">
        <v>308</v>
      </c>
      <c r="D26" s="17" t="s">
        <v>1869</v>
      </c>
      <c r="E26" s="9" t="s">
        <v>1251</v>
      </c>
      <c r="F26" s="11" t="s">
        <v>309</v>
      </c>
      <c r="G26" s="11" t="s">
        <v>1870</v>
      </c>
      <c r="H26" s="11" t="s">
        <v>1871</v>
      </c>
      <c r="I26" s="11" t="s">
        <v>1872</v>
      </c>
      <c r="J26" s="11" t="s">
        <v>889</v>
      </c>
      <c r="K26" s="9" t="s">
        <v>181</v>
      </c>
      <c r="L26" s="17" t="s">
        <v>890</v>
      </c>
      <c r="M26" s="11" t="s">
        <v>1873</v>
      </c>
      <c r="N26" s="11" t="s">
        <v>1874</v>
      </c>
      <c r="O26" s="11" t="s">
        <v>1875</v>
      </c>
      <c r="P26" s="11" t="s">
        <v>1876</v>
      </c>
      <c r="Q26" s="11" t="s">
        <v>1877</v>
      </c>
      <c r="R26" s="11" t="s">
        <v>1878</v>
      </c>
      <c r="S26" s="9" t="s">
        <v>1261</v>
      </c>
      <c r="T26" s="11" t="s">
        <v>1879</v>
      </c>
      <c r="U26" s="11" t="s">
        <v>1880</v>
      </c>
      <c r="V26" s="9" t="s">
        <v>789</v>
      </c>
      <c r="W26" s="11" t="s">
        <v>1881</v>
      </c>
    </row>
    <row r="27" customFormat="false" ht="183" hidden="false" customHeight="true" outlineLevel="0" collapsed="false">
      <c r="A27" s="11" t="n">
        <v>23</v>
      </c>
      <c r="B27" s="8" t="s">
        <v>310</v>
      </c>
      <c r="C27" s="11" t="s">
        <v>311</v>
      </c>
      <c r="D27" s="17" t="s">
        <v>1882</v>
      </c>
      <c r="E27" s="9" t="s">
        <v>1251</v>
      </c>
      <c r="F27" s="11" t="s">
        <v>312</v>
      </c>
      <c r="G27" s="11" t="s">
        <v>1883</v>
      </c>
      <c r="H27" s="11" t="s">
        <v>1884</v>
      </c>
      <c r="I27" s="11" t="s">
        <v>1885</v>
      </c>
      <c r="J27" s="11" t="s">
        <v>891</v>
      </c>
      <c r="K27" s="9" t="s">
        <v>181</v>
      </c>
      <c r="L27" s="17" t="s">
        <v>892</v>
      </c>
      <c r="M27" s="11" t="s">
        <v>1886</v>
      </c>
      <c r="N27" s="11" t="s">
        <v>1887</v>
      </c>
      <c r="O27" s="11" t="s">
        <v>1888</v>
      </c>
      <c r="P27" s="11" t="s">
        <v>1889</v>
      </c>
      <c r="Q27" s="11" t="s">
        <v>1890</v>
      </c>
      <c r="R27" s="11" t="s">
        <v>1891</v>
      </c>
      <c r="S27" s="9" t="s">
        <v>1296</v>
      </c>
      <c r="T27" s="11" t="s">
        <v>1892</v>
      </c>
      <c r="U27" s="11" t="s">
        <v>1893</v>
      </c>
      <c r="V27" s="9" t="s">
        <v>789</v>
      </c>
      <c r="W27" s="11" t="s">
        <v>1894</v>
      </c>
    </row>
    <row r="28" customFormat="false" ht="195" hidden="false" customHeight="true" outlineLevel="0" collapsed="false">
      <c r="A28" s="11" t="n">
        <v>24</v>
      </c>
      <c r="B28" s="8" t="s">
        <v>313</v>
      </c>
      <c r="C28" s="11" t="s">
        <v>314</v>
      </c>
      <c r="D28" s="17" t="s">
        <v>1895</v>
      </c>
      <c r="E28" s="9" t="s">
        <v>1251</v>
      </c>
      <c r="F28" s="11" t="s">
        <v>183</v>
      </c>
      <c r="G28" s="11" t="s">
        <v>1896</v>
      </c>
      <c r="H28" s="11" t="s">
        <v>1897</v>
      </c>
      <c r="I28" s="11" t="s">
        <v>1898</v>
      </c>
      <c r="J28" s="11" t="s">
        <v>893</v>
      </c>
      <c r="K28" s="9" t="s">
        <v>181</v>
      </c>
      <c r="L28" s="17" t="s">
        <v>894</v>
      </c>
      <c r="M28" s="11" t="s">
        <v>1899</v>
      </c>
      <c r="N28" s="11" t="s">
        <v>1900</v>
      </c>
      <c r="O28" s="11" t="s">
        <v>1901</v>
      </c>
      <c r="P28" s="11" t="s">
        <v>1902</v>
      </c>
      <c r="Q28" s="11" t="s">
        <v>1903</v>
      </c>
      <c r="R28" s="11" t="s">
        <v>1904</v>
      </c>
      <c r="S28" s="9" t="s">
        <v>1296</v>
      </c>
      <c r="T28" s="11" t="s">
        <v>1905</v>
      </c>
      <c r="U28" s="11" t="s">
        <v>1906</v>
      </c>
      <c r="V28" s="9" t="s">
        <v>789</v>
      </c>
      <c r="W28" s="11" t="s">
        <v>1907</v>
      </c>
    </row>
    <row r="29" customFormat="false" ht="97.5" hidden="false" customHeight="true" outlineLevel="0" collapsed="false">
      <c r="A29" s="11" t="n">
        <v>25</v>
      </c>
      <c r="B29" s="8" t="s">
        <v>315</v>
      </c>
      <c r="C29" s="11" t="s">
        <v>316</v>
      </c>
      <c r="D29" s="17" t="s">
        <v>1908</v>
      </c>
      <c r="E29" s="9" t="s">
        <v>1251</v>
      </c>
      <c r="F29" s="11" t="s">
        <v>212</v>
      </c>
      <c r="G29" s="11" t="s">
        <v>1909</v>
      </c>
      <c r="H29" s="11" t="s">
        <v>1910</v>
      </c>
      <c r="I29" s="11" t="s">
        <v>1911</v>
      </c>
      <c r="J29" s="11" t="s">
        <v>895</v>
      </c>
      <c r="K29" s="9" t="s">
        <v>181</v>
      </c>
      <c r="L29" s="17" t="s">
        <v>896</v>
      </c>
      <c r="M29" s="11" t="s">
        <v>1912</v>
      </c>
      <c r="N29" s="11" t="s">
        <v>1913</v>
      </c>
      <c r="O29" s="11" t="s">
        <v>1637</v>
      </c>
      <c r="P29" s="11" t="s">
        <v>1914</v>
      </c>
      <c r="Q29" s="11" t="s">
        <v>1915</v>
      </c>
      <c r="R29" s="11" t="s">
        <v>1916</v>
      </c>
      <c r="S29" s="9" t="s">
        <v>1261</v>
      </c>
      <c r="T29" s="11" t="s">
        <v>1917</v>
      </c>
      <c r="U29" s="11"/>
      <c r="V29" s="9" t="s">
        <v>786</v>
      </c>
      <c r="W29" s="11" t="s">
        <v>1918</v>
      </c>
    </row>
    <row r="30" customFormat="false" ht="300" hidden="false" customHeight="true" outlineLevel="0" collapsed="false">
      <c r="A30" s="11" t="n">
        <v>26</v>
      </c>
      <c r="B30" s="8" t="s">
        <v>317</v>
      </c>
      <c r="C30" s="11" t="s">
        <v>318</v>
      </c>
      <c r="D30" s="17" t="s">
        <v>1017</v>
      </c>
      <c r="E30" s="9" t="s">
        <v>1251</v>
      </c>
      <c r="F30" s="11" t="s">
        <v>319</v>
      </c>
      <c r="G30" s="11" t="s">
        <v>1919</v>
      </c>
      <c r="H30" s="11" t="s">
        <v>1920</v>
      </c>
      <c r="I30" s="11" t="s">
        <v>1921</v>
      </c>
      <c r="J30" s="11" t="s">
        <v>897</v>
      </c>
      <c r="K30" s="9" t="s">
        <v>320</v>
      </c>
      <c r="L30" s="17" t="s">
        <v>898</v>
      </c>
      <c r="M30" s="11" t="s">
        <v>1922</v>
      </c>
      <c r="N30" s="11" t="s">
        <v>1923</v>
      </c>
      <c r="O30" s="11" t="s">
        <v>1924</v>
      </c>
      <c r="P30" s="11" t="s">
        <v>1925</v>
      </c>
      <c r="Q30" s="11" t="s">
        <v>1926</v>
      </c>
      <c r="R30" s="11" t="s">
        <v>1927</v>
      </c>
      <c r="S30" s="9" t="s">
        <v>1310</v>
      </c>
      <c r="T30" s="11" t="s">
        <v>1928</v>
      </c>
      <c r="U30" s="11" t="s">
        <v>1929</v>
      </c>
      <c r="V30" s="9" t="s">
        <v>789</v>
      </c>
      <c r="W30" s="11" t="s">
        <v>1930</v>
      </c>
    </row>
    <row r="31" customFormat="false" ht="109.5" hidden="false" customHeight="true" outlineLevel="0" collapsed="false">
      <c r="A31" s="11" t="n">
        <v>27</v>
      </c>
      <c r="B31" s="8" t="s">
        <v>321</v>
      </c>
      <c r="C31" s="11" t="s">
        <v>322</v>
      </c>
      <c r="D31" s="17" t="s">
        <v>1931</v>
      </c>
      <c r="E31" s="9" t="s">
        <v>1251</v>
      </c>
      <c r="F31" s="11" t="s">
        <v>323</v>
      </c>
      <c r="G31" s="11" t="s">
        <v>1932</v>
      </c>
      <c r="H31" s="11" t="s">
        <v>1933</v>
      </c>
      <c r="I31" s="11" t="s">
        <v>1934</v>
      </c>
      <c r="J31" s="11" t="s">
        <v>899</v>
      </c>
      <c r="K31" s="9" t="s">
        <v>233</v>
      </c>
      <c r="L31" s="17" t="s">
        <v>900</v>
      </c>
      <c r="M31" s="11" t="s">
        <v>1935</v>
      </c>
      <c r="N31" s="11" t="s">
        <v>1936</v>
      </c>
      <c r="O31" s="11" t="s">
        <v>1637</v>
      </c>
      <c r="P31" s="11" t="s">
        <v>1937</v>
      </c>
      <c r="Q31" s="11" t="s">
        <v>1523</v>
      </c>
      <c r="R31" s="11" t="s">
        <v>1524</v>
      </c>
      <c r="S31" s="9" t="s">
        <v>1261</v>
      </c>
      <c r="T31" s="11" t="s">
        <v>1938</v>
      </c>
      <c r="U31" s="11" t="s">
        <v>1939</v>
      </c>
      <c r="V31" s="9" t="s">
        <v>789</v>
      </c>
      <c r="W31" s="11" t="s">
        <v>1940</v>
      </c>
    </row>
    <row r="32" customFormat="false" ht="84.75" hidden="false" customHeight="true" outlineLevel="0" collapsed="false">
      <c r="A32" s="11" t="n">
        <v>28</v>
      </c>
      <c r="B32" s="8" t="s">
        <v>324</v>
      </c>
      <c r="C32" s="11" t="s">
        <v>325</v>
      </c>
      <c r="D32" s="17" t="s">
        <v>1941</v>
      </c>
      <c r="E32" s="9" t="s">
        <v>1251</v>
      </c>
      <c r="F32" s="11" t="s">
        <v>326</v>
      </c>
      <c r="G32" s="11" t="s">
        <v>1942</v>
      </c>
      <c r="H32" s="11" t="s">
        <v>1943</v>
      </c>
      <c r="I32" s="11" t="s">
        <v>1944</v>
      </c>
      <c r="J32" s="11" t="s">
        <v>901</v>
      </c>
      <c r="K32" s="9" t="s">
        <v>233</v>
      </c>
      <c r="L32" s="17" t="s">
        <v>902</v>
      </c>
      <c r="M32" s="11" t="s">
        <v>1945</v>
      </c>
      <c r="N32" s="11" t="s">
        <v>1946</v>
      </c>
      <c r="O32" s="11" t="s">
        <v>1637</v>
      </c>
      <c r="P32" s="11" t="s">
        <v>1947</v>
      </c>
      <c r="Q32" s="11" t="s">
        <v>1948</v>
      </c>
      <c r="R32" s="11" t="s">
        <v>1949</v>
      </c>
      <c r="S32" s="9" t="s">
        <v>1310</v>
      </c>
      <c r="T32" s="11" t="s">
        <v>1950</v>
      </c>
      <c r="U32" s="11" t="s">
        <v>1951</v>
      </c>
      <c r="V32" s="9" t="s">
        <v>789</v>
      </c>
      <c r="W32" s="11" t="s">
        <v>1952</v>
      </c>
    </row>
    <row r="33" customFormat="false" ht="109.5" hidden="false" customHeight="true" outlineLevel="0" collapsed="false">
      <c r="A33" s="11" t="n">
        <v>29</v>
      </c>
      <c r="B33" s="8" t="s">
        <v>327</v>
      </c>
      <c r="C33" s="11" t="s">
        <v>328</v>
      </c>
      <c r="D33" s="17" t="s">
        <v>1021</v>
      </c>
      <c r="E33" s="9" t="s">
        <v>1251</v>
      </c>
      <c r="F33" s="11" t="s">
        <v>329</v>
      </c>
      <c r="G33" s="11" t="s">
        <v>1953</v>
      </c>
      <c r="H33" s="11" t="s">
        <v>1954</v>
      </c>
      <c r="I33" s="11" t="s">
        <v>1955</v>
      </c>
      <c r="J33" s="11" t="s">
        <v>903</v>
      </c>
      <c r="K33" s="9" t="s">
        <v>181</v>
      </c>
      <c r="L33" s="17" t="s">
        <v>904</v>
      </c>
      <c r="M33" s="11" t="s">
        <v>1956</v>
      </c>
      <c r="N33" s="11" t="s">
        <v>1957</v>
      </c>
      <c r="O33" s="11" t="s">
        <v>1637</v>
      </c>
      <c r="P33" s="11" t="s">
        <v>1958</v>
      </c>
      <c r="Q33" s="11" t="s">
        <v>1959</v>
      </c>
      <c r="R33" s="11" t="s">
        <v>1273</v>
      </c>
      <c r="S33" s="9" t="s">
        <v>233</v>
      </c>
      <c r="T33" s="11" t="s">
        <v>1960</v>
      </c>
      <c r="U33" s="11"/>
      <c r="V33" s="9" t="s">
        <v>786</v>
      </c>
      <c r="W33" s="11" t="s">
        <v>1961</v>
      </c>
    </row>
    <row r="34" customFormat="false" ht="84.75" hidden="false" customHeight="true" outlineLevel="0" collapsed="false">
      <c r="A34" s="11" t="n">
        <v>30</v>
      </c>
      <c r="B34" s="8" t="s">
        <v>330</v>
      </c>
      <c r="C34" s="11" t="s">
        <v>331</v>
      </c>
      <c r="D34" s="17" t="s">
        <v>1962</v>
      </c>
      <c r="E34" s="9" t="s">
        <v>1251</v>
      </c>
      <c r="F34" s="11" t="s">
        <v>323</v>
      </c>
      <c r="G34" s="11" t="s">
        <v>1963</v>
      </c>
      <c r="H34" s="11" t="s">
        <v>1964</v>
      </c>
      <c r="I34" s="11" t="s">
        <v>1965</v>
      </c>
      <c r="J34" s="11" t="s">
        <v>901</v>
      </c>
      <c r="K34" s="9" t="s">
        <v>233</v>
      </c>
      <c r="L34" s="17" t="s">
        <v>905</v>
      </c>
      <c r="M34" s="11" t="s">
        <v>1966</v>
      </c>
      <c r="N34" s="11" t="s">
        <v>1967</v>
      </c>
      <c r="O34" s="11" t="s">
        <v>1637</v>
      </c>
      <c r="P34" s="11" t="s">
        <v>1968</v>
      </c>
      <c r="Q34" s="11" t="s">
        <v>1523</v>
      </c>
      <c r="R34" s="11" t="s">
        <v>1524</v>
      </c>
      <c r="S34" s="9" t="s">
        <v>1261</v>
      </c>
      <c r="T34" s="11" t="s">
        <v>1969</v>
      </c>
      <c r="U34" s="11"/>
      <c r="V34" s="9" t="s">
        <v>789</v>
      </c>
      <c r="W34" s="11" t="s">
        <v>1970</v>
      </c>
    </row>
    <row r="35" customFormat="false" ht="121.5" hidden="false" customHeight="true" outlineLevel="0" collapsed="false">
      <c r="A35" s="11" t="n">
        <v>31</v>
      </c>
      <c r="B35" s="8" t="s">
        <v>332</v>
      </c>
      <c r="C35" s="11" t="s">
        <v>333</v>
      </c>
      <c r="D35" s="17" t="s">
        <v>1971</v>
      </c>
      <c r="E35" s="9" t="s">
        <v>1251</v>
      </c>
      <c r="F35" s="11" t="s">
        <v>323</v>
      </c>
      <c r="G35" s="11" t="s">
        <v>1972</v>
      </c>
      <c r="H35" s="11" t="s">
        <v>1973</v>
      </c>
      <c r="I35" s="11" t="s">
        <v>1974</v>
      </c>
      <c r="J35" s="11" t="s">
        <v>901</v>
      </c>
      <c r="K35" s="9" t="s">
        <v>233</v>
      </c>
      <c r="L35" s="17" t="s">
        <v>906</v>
      </c>
      <c r="M35" s="11" t="s">
        <v>1975</v>
      </c>
      <c r="N35" s="11" t="s">
        <v>1976</v>
      </c>
      <c r="O35" s="11" t="s">
        <v>1637</v>
      </c>
      <c r="P35" s="11" t="s">
        <v>1977</v>
      </c>
      <c r="Q35" s="11" t="s">
        <v>1523</v>
      </c>
      <c r="R35" s="11" t="s">
        <v>1978</v>
      </c>
      <c r="S35" s="9" t="s">
        <v>1261</v>
      </c>
      <c r="T35" s="11" t="s">
        <v>1979</v>
      </c>
      <c r="U35" s="11" t="s">
        <v>1980</v>
      </c>
      <c r="V35" s="9" t="s">
        <v>789</v>
      </c>
      <c r="W35" s="11" t="s">
        <v>1981</v>
      </c>
    </row>
    <row r="36" customFormat="false" ht="97.5" hidden="false" customHeight="true" outlineLevel="0" collapsed="false">
      <c r="A36" s="11" t="n">
        <v>32</v>
      </c>
      <c r="B36" s="8" t="s">
        <v>334</v>
      </c>
      <c r="C36" s="11" t="s">
        <v>335</v>
      </c>
      <c r="D36" s="17" t="s">
        <v>908</v>
      </c>
      <c r="E36" s="9" t="s">
        <v>1276</v>
      </c>
      <c r="F36" s="11" t="s">
        <v>336</v>
      </c>
      <c r="G36" s="11" t="s">
        <v>1982</v>
      </c>
      <c r="H36" s="11" t="s">
        <v>1983</v>
      </c>
      <c r="I36" s="11" t="s">
        <v>1984</v>
      </c>
      <c r="J36" s="11" t="s">
        <v>907</v>
      </c>
      <c r="K36" s="9" t="s">
        <v>181</v>
      </c>
      <c r="L36" s="17" t="s">
        <v>908</v>
      </c>
      <c r="M36" s="11" t="s">
        <v>1985</v>
      </c>
      <c r="N36" s="11" t="s">
        <v>1986</v>
      </c>
      <c r="O36" s="11" t="s">
        <v>1637</v>
      </c>
      <c r="P36" s="11" t="s">
        <v>1987</v>
      </c>
      <c r="Q36" s="11" t="s">
        <v>1988</v>
      </c>
      <c r="R36" s="11" t="s">
        <v>1273</v>
      </c>
      <c r="S36" s="9" t="s">
        <v>233</v>
      </c>
      <c r="T36" s="11" t="s">
        <v>1989</v>
      </c>
      <c r="U36" s="11"/>
      <c r="V36" s="9" t="s">
        <v>789</v>
      </c>
      <c r="W36" s="11" t="s">
        <v>1990</v>
      </c>
    </row>
    <row r="37" customFormat="false" ht="133.5" hidden="false" customHeight="true" outlineLevel="0" collapsed="false">
      <c r="A37" s="11" t="n">
        <v>33</v>
      </c>
      <c r="B37" s="8" t="s">
        <v>337</v>
      </c>
      <c r="C37" s="11" t="s">
        <v>338</v>
      </c>
      <c r="D37" s="17" t="s">
        <v>1991</v>
      </c>
      <c r="E37" s="9" t="s">
        <v>1251</v>
      </c>
      <c r="F37" s="11" t="s">
        <v>339</v>
      </c>
      <c r="G37" s="11" t="s">
        <v>1992</v>
      </c>
      <c r="H37" s="11" t="s">
        <v>1993</v>
      </c>
      <c r="I37" s="11" t="s">
        <v>1994</v>
      </c>
      <c r="J37" s="11" t="s">
        <v>909</v>
      </c>
      <c r="K37" s="9" t="s">
        <v>340</v>
      </c>
      <c r="L37" s="17" t="s">
        <v>910</v>
      </c>
      <c r="M37" s="11" t="s">
        <v>1995</v>
      </c>
      <c r="N37" s="11" t="s">
        <v>1996</v>
      </c>
      <c r="O37" s="11" t="s">
        <v>1997</v>
      </c>
      <c r="P37" s="11" t="s">
        <v>1998</v>
      </c>
      <c r="Q37" s="11" t="s">
        <v>1999</v>
      </c>
      <c r="R37" s="11" t="s">
        <v>2000</v>
      </c>
      <c r="S37" s="9" t="s">
        <v>1261</v>
      </c>
      <c r="T37" s="11" t="s">
        <v>2001</v>
      </c>
      <c r="U37" s="11" t="s">
        <v>2002</v>
      </c>
      <c r="V37" s="9" t="s">
        <v>789</v>
      </c>
      <c r="W37" s="11" t="s">
        <v>2003</v>
      </c>
    </row>
  </sheetData>
  <autoFilter ref="A4:W37"/>
  <conditionalFormatting sqref="K5:K37">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37">
    <cfRule type="cellIs" priority="6" operator="equal" aboveAverage="0" equalAverage="0" bottom="0" percent="0" rank="0" text="" dxfId="15">
      <formula>"Yes"</formula>
    </cfRule>
  </conditionalFormatting>
  <hyperlinks>
    <hyperlink ref="D5" r:id="rId1" display="https://www.aikido.dev/"/>
    <hyperlink ref="L5" r:id="rId2" display="https://www.aikido.dev/pricing"/>
    <hyperlink ref="D6" r:id="rId3" display="https://air.security/"/>
    <hyperlink ref="L6" r:id="rId4" display="https://techcrunch.com/2026/09/01/air-raises-50m-to-help-companies-vet-the-skills-and-add-ons-ai-agents-use/"/>
    <hyperlink ref="D7" r:id="rId5" display="https://www.arnica.io/use-cases/sca"/>
    <hyperlink ref="L7" r:id="rId6" display="https://www.arnica.io/blog/reachable-open-source-risk-prioritization"/>
    <hyperlink ref="D8" r:id="rId7" display="https://www.blackduck.com/software-composition-analysis-tools/black-duck-sca.html"/>
    <hyperlink ref="L8" r:id="rId8" display="https://www.nasdaq.com/press-release/black-duck-sca-introduces-ai-model-risk-scanning-enhanced-software-security-insights"/>
    <hyperlink ref="D9" r:id="rId9" display="https://www.chainguard.dev/"/>
    <hyperlink ref="L9" r:id="rId10" display="https://www.chainguard.dev/unchained/chainguard-is-named-a-leader-in-the-2026-gartner-magic-quadrant-for-software-supply-chain-security"/>
    <hyperlink ref="D10" r:id="rId11" display="https://checkmarx.com/product/cxsca-open-source-scanning/"/>
    <hyperlink ref="L10" r:id="rId12" display="https://checkmarx.com/checkmarx-one-developer-assist/"/>
    <hyperlink ref="D11" r:id="rId13" display="https://cycode.com/platform/"/>
    <hyperlink ref="L11" r:id="rId14" display="https://cycode.com/blog/bulk-ai-exploitability-analysis/"/>
    <hyperlink ref="D12" r:id="rId15" display="https://www.echo.ai/"/>
    <hyperlink ref="L12" r:id="rId16" display="https://siliconangle.com/2026/08/27/vulnerability-free-container-image-startup-echo-acquires-minimus/"/>
    <hyperlink ref="D13" r:id="rId17" display="https://www.endorlabs.com/"/>
    <hyperlink ref="L13" r:id="rId18" display="https://www.endorlabs.com/learn/endor-labs-is-a-visionary-in-the-2026-gartner-r-magic-quadrant-tm-for-software-supply-chain-security"/>
    <hyperlink ref="D14" r:id="rId19" display="https://fossa.com/"/>
    <hyperlink ref="L14" r:id="rId20" display="https://fossa.com/pricing/"/>
    <hyperlink ref="D15" r:id="rId21" display="https://docs.github.com/en/code-security/dependabot"/>
    <hyperlink ref="L15" r:id="rId22" display="https://github.com/resources/insights/evolving-github-advanced-security"/>
    <hyperlink ref="D16" r:id="rId23" display="https://www.hcl-software.com/appscan"/>
    <hyperlink ref="L16" r:id="rId24" display="https://www.hcl-software.com/appscan"/>
    <hyperlink ref="D17" r:id="rId25" display="https://jfrog.com/xray/"/>
    <hyperlink ref="L17" r:id="rId26" display="https://jfrog.com/press-room/jfrog-embeds-security-into-the-agentic-workforce/"/>
    <hyperlink ref="D18" r:id="rId27" display="https://konvu.com/"/>
    <hyperlink ref="L18" r:id="rId28" display="https://konvu.com/blog/from-vulnerability-finding-to-exploit-proof"/>
    <hyperlink ref="D19" r:id="rId29" display="https://www.lineaje.com/"/>
    <hyperlink ref="L19" r:id="rId30" display="https://www.aol.com/articles/lineaje-recognized-visionary-2026-gartner-154300000.html"/>
    <hyperlink ref="D20" r:id="rId31" display="https://www.mend.io/mend-sca/"/>
    <hyperlink ref="L20" r:id="rId32" display="https://docs.mend.io/platform/latest/mend-platform-release-notes"/>
    <hyperlink ref="D21" r:id="rId33" display="https://www.opentext.com/products/core-software-composition-analysis"/>
    <hyperlink ref="L21" r:id="rId34" display="https://www.merito.com/vendors/opentext/core-open-source-select"/>
    <hyperlink ref="D22" r:id="rId35" display="https://www.veracode.com/products/veracode-package-firewall/"/>
    <hyperlink ref="L22" r:id="rId36" display="https://www.veracode.com/blog/introducing-veracode-package-firewall/"/>
    <hyperlink ref="D23" r:id="rId37" display="https://scantist.com/products/sca"/>
    <hyperlink ref="L23" r:id="rId38" display="https://scantist.com/pricing"/>
    <hyperlink ref="D24" r:id="rId39" display="https://semgrep.dev/products/semgrep-supply-chain/"/>
    <hyperlink ref="L24" r:id="rId40" display="https://semgrep.dev/docs/release-notes/march-2026"/>
    <hyperlink ref="D25" r:id="rId41" display="https://snyk.io/product/open-source-security-management/"/>
    <hyperlink ref="L25" r:id="rId42" display="https://docs.snyk.io/whats-new"/>
    <hyperlink ref="D26" r:id="rId43" display="https://socket.dev/"/>
    <hyperlink ref="L26" r:id="rId44" display="https://socket.dev/pricing"/>
    <hyperlink ref="D27" r:id="rId45" display="https://www.sonatype.com/products/nexus-one-platform"/>
    <hyperlink ref="L27" r:id="rId46" display="https://www.infoq.com/news/2026/03/sonatype-guide-safety-mcp-server"/>
    <hyperlink ref="D28" r:id="rId47" display="https://www.veracode.com/products/software-composition-analysis/"/>
    <hyperlink ref="L28" r:id="rId48" display="https://www.veracode.com/products/veracode-package-firewall/"/>
    <hyperlink ref="D29" r:id="rId49" display="https://xygeni.io/open-source-security/"/>
    <hyperlink ref="L29" r:id="rId50" display="https://www.capterra.co.uk/software/1043740/xygeni"/>
    <hyperlink ref="D30" r:id="rId51" display="https://docs.gitlab.com/user/application_security/dependency_scanning/"/>
    <hyperlink ref="L30" r:id="rId52" display="https://about.gitlab.com/direction/supply-chain/"/>
    <hyperlink ref="D31" r:id="rId53" display="https://google.github.io/osv-scanner/"/>
    <hyperlink ref="L31" r:id="rId54" display="https://blog.google/security/announcing-osv-scanner-v2-vulnerability/"/>
    <hyperlink ref="D32" r:id="rId55" display="https://anchore.com/grype/"/>
    <hyperlink ref="L32" r:id="rId56" display="https://github.com/anchore/grype/releases"/>
    <hyperlink ref="D33" r:id="rId57" display="https://www.kusari.dev/"/>
    <hyperlink ref="L33" r:id="rId58" display="https://www.businesswire.com/news/home/20250617157201/en/Introducing-Kusari-Inspector-Empowering-Developers-with-Real-Time-Software-Security-Insights-in-Every-Pull-Request"/>
    <hyperlink ref="D34" r:id="rId59" display="https://owasp.org/www-project-dependency-check/"/>
    <hyperlink ref="L34" r:id="rId60" display="https://github.com/dependency-check/DependencyCheck"/>
    <hyperlink ref="D35" r:id="rId61" display="https://dependencytrack.org/"/>
    <hyperlink ref="L35" r:id="rId62" display="https://dependencytrack.org/news/dependency-track-5-0/"/>
    <hyperlink ref="D36" r:id="rId63" display="https://safedep.io/"/>
    <hyperlink ref="L36" r:id="rId64" display="https://safedep.io/"/>
    <hyperlink ref="D37" r:id="rId65" display="https://trivy.dev/"/>
    <hyperlink ref="L37" r:id="rId66" display="https://github.com/aquasecurity/trivy-mc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2004</v>
      </c>
    </row>
    <row r="2" customFormat="false" ht="15" hidden="false" customHeight="false" outlineLevel="0" collapsed="false">
      <c r="A2" s="2" t="s">
        <v>2005</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97.5" hidden="false" customHeight="true" outlineLevel="0" collapsed="false">
      <c r="A5" s="11" t="n">
        <v>1</v>
      </c>
      <c r="B5" s="8" t="s">
        <v>341</v>
      </c>
      <c r="C5" s="11" t="s">
        <v>178</v>
      </c>
      <c r="D5" s="17" t="s">
        <v>1250</v>
      </c>
      <c r="E5" s="9" t="s">
        <v>1251</v>
      </c>
      <c r="F5" s="11" t="s">
        <v>342</v>
      </c>
      <c r="G5" s="11" t="s">
        <v>2006</v>
      </c>
      <c r="H5" s="11" t="s">
        <v>2007</v>
      </c>
      <c r="I5" s="11" t="s">
        <v>2008</v>
      </c>
      <c r="J5" s="11" t="s">
        <v>911</v>
      </c>
      <c r="K5" s="9" t="s">
        <v>343</v>
      </c>
      <c r="L5" s="17" t="s">
        <v>780</v>
      </c>
      <c r="M5" s="11" t="s">
        <v>2009</v>
      </c>
      <c r="N5" s="11" t="s">
        <v>2010</v>
      </c>
      <c r="O5" s="11" t="s">
        <v>2011</v>
      </c>
      <c r="P5" s="11" t="s">
        <v>2012</v>
      </c>
      <c r="Q5" s="11" t="s">
        <v>2013</v>
      </c>
      <c r="R5" s="11" t="s">
        <v>2014</v>
      </c>
      <c r="S5" s="9" t="s">
        <v>1261</v>
      </c>
      <c r="T5" s="11" t="s">
        <v>2015</v>
      </c>
      <c r="U5" s="11" t="s">
        <v>2016</v>
      </c>
      <c r="V5" s="9" t="s">
        <v>781</v>
      </c>
      <c r="W5" s="11" t="s">
        <v>2017</v>
      </c>
    </row>
    <row r="6" customFormat="false" ht="97.5" hidden="false" customHeight="true" outlineLevel="0" collapsed="false">
      <c r="A6" s="11" t="n">
        <v>2</v>
      </c>
      <c r="B6" s="8" t="s">
        <v>344</v>
      </c>
      <c r="C6" s="11" t="s">
        <v>185</v>
      </c>
      <c r="D6" s="17" t="s">
        <v>2018</v>
      </c>
      <c r="E6" s="9" t="s">
        <v>1251</v>
      </c>
      <c r="F6" s="11" t="s">
        <v>183</v>
      </c>
      <c r="G6" s="11" t="s">
        <v>2019</v>
      </c>
      <c r="H6" s="11" t="s">
        <v>2020</v>
      </c>
      <c r="I6" s="11" t="s">
        <v>2021</v>
      </c>
      <c r="J6" s="11" t="s">
        <v>912</v>
      </c>
      <c r="K6" s="9" t="s">
        <v>345</v>
      </c>
      <c r="L6" s="17" t="s">
        <v>913</v>
      </c>
      <c r="M6" s="11" t="s">
        <v>2022</v>
      </c>
      <c r="N6" s="11" t="s">
        <v>2023</v>
      </c>
      <c r="O6" s="11" t="s">
        <v>1270</v>
      </c>
      <c r="P6" s="11" t="s">
        <v>2024</v>
      </c>
      <c r="Q6" s="11" t="s">
        <v>2025</v>
      </c>
      <c r="R6" s="11" t="s">
        <v>1273</v>
      </c>
      <c r="S6" s="9" t="s">
        <v>233</v>
      </c>
      <c r="T6" s="11" t="s">
        <v>2026</v>
      </c>
      <c r="U6" s="11"/>
      <c r="V6" s="9" t="s">
        <v>781</v>
      </c>
      <c r="W6" s="11" t="s">
        <v>2027</v>
      </c>
    </row>
    <row r="7" customFormat="false" ht="207" hidden="false" customHeight="true" outlineLevel="0" collapsed="false">
      <c r="A7" s="11" t="n">
        <v>3</v>
      </c>
      <c r="B7" s="8" t="s">
        <v>346</v>
      </c>
      <c r="C7" s="11" t="s">
        <v>347</v>
      </c>
      <c r="D7" s="17" t="s">
        <v>2028</v>
      </c>
      <c r="E7" s="9" t="s">
        <v>1251</v>
      </c>
      <c r="F7" s="11" t="s">
        <v>348</v>
      </c>
      <c r="G7" s="11" t="s">
        <v>2029</v>
      </c>
      <c r="H7" s="11" t="s">
        <v>2030</v>
      </c>
      <c r="I7" s="11" t="s">
        <v>2031</v>
      </c>
      <c r="J7" s="11" t="s">
        <v>914</v>
      </c>
      <c r="K7" s="9" t="s">
        <v>349</v>
      </c>
      <c r="L7" s="17" t="s">
        <v>915</v>
      </c>
      <c r="M7" s="11" t="s">
        <v>2032</v>
      </c>
      <c r="N7" s="11" t="s">
        <v>2033</v>
      </c>
      <c r="O7" s="11" t="s">
        <v>2034</v>
      </c>
      <c r="P7" s="11" t="s">
        <v>2035</v>
      </c>
      <c r="Q7" s="11" t="s">
        <v>2036</v>
      </c>
      <c r="R7" s="11" t="s">
        <v>1273</v>
      </c>
      <c r="S7" s="9" t="s">
        <v>233</v>
      </c>
      <c r="T7" s="11" t="s">
        <v>2037</v>
      </c>
      <c r="U7" s="11" t="s">
        <v>2038</v>
      </c>
      <c r="V7" s="9" t="s">
        <v>789</v>
      </c>
      <c r="W7" s="11" t="s">
        <v>2039</v>
      </c>
    </row>
    <row r="8" customFormat="false" ht="97.5" hidden="false" customHeight="true" outlineLevel="0" collapsed="false">
      <c r="A8" s="11" t="n">
        <v>4</v>
      </c>
      <c r="B8" s="8" t="s">
        <v>350</v>
      </c>
      <c r="C8" s="11" t="s">
        <v>269</v>
      </c>
      <c r="D8" s="17" t="s">
        <v>917</v>
      </c>
      <c r="E8" s="9" t="s">
        <v>1251</v>
      </c>
      <c r="F8" s="11" t="s">
        <v>351</v>
      </c>
      <c r="G8" s="11" t="s">
        <v>2040</v>
      </c>
      <c r="H8" s="11" t="s">
        <v>2041</v>
      </c>
      <c r="I8" s="11" t="s">
        <v>2042</v>
      </c>
      <c r="J8" s="11" t="s">
        <v>916</v>
      </c>
      <c r="K8" s="9" t="s">
        <v>352</v>
      </c>
      <c r="L8" s="17" t="s">
        <v>917</v>
      </c>
      <c r="M8" s="11" t="s">
        <v>2043</v>
      </c>
      <c r="N8" s="11" t="s">
        <v>2044</v>
      </c>
      <c r="O8" s="11" t="s">
        <v>2045</v>
      </c>
      <c r="P8" s="11" t="s">
        <v>2046</v>
      </c>
      <c r="Q8" s="11" t="s">
        <v>2047</v>
      </c>
      <c r="R8" s="11" t="s">
        <v>1273</v>
      </c>
      <c r="S8" s="9" t="s">
        <v>233</v>
      </c>
      <c r="T8" s="11" t="s">
        <v>2048</v>
      </c>
      <c r="U8" s="11" t="s">
        <v>2049</v>
      </c>
      <c r="V8" s="9" t="s">
        <v>789</v>
      </c>
      <c r="W8" s="11" t="s">
        <v>2050</v>
      </c>
    </row>
    <row r="9" customFormat="false" ht="72.75" hidden="false" customHeight="true" outlineLevel="0" collapsed="false">
      <c r="A9" s="11" t="n">
        <v>5</v>
      </c>
      <c r="B9" s="8" t="s">
        <v>353</v>
      </c>
      <c r="C9" s="11" t="s">
        <v>354</v>
      </c>
      <c r="D9" s="17" t="s">
        <v>2051</v>
      </c>
      <c r="E9" s="9" t="s">
        <v>1276</v>
      </c>
      <c r="F9" s="11" t="s">
        <v>183</v>
      </c>
      <c r="G9" s="11" t="s">
        <v>2052</v>
      </c>
      <c r="H9" s="11" t="s">
        <v>2053</v>
      </c>
      <c r="I9" s="11" t="s">
        <v>2054</v>
      </c>
      <c r="J9" s="11" t="s">
        <v>918</v>
      </c>
      <c r="K9" s="9" t="s">
        <v>355</v>
      </c>
      <c r="L9" s="17" t="s">
        <v>919</v>
      </c>
      <c r="M9" s="11" t="s">
        <v>2055</v>
      </c>
      <c r="N9" s="11" t="s">
        <v>2056</v>
      </c>
      <c r="O9" s="11" t="s">
        <v>1270</v>
      </c>
      <c r="P9" s="11" t="s">
        <v>2057</v>
      </c>
      <c r="Q9" s="11" t="s">
        <v>1273</v>
      </c>
      <c r="R9" s="11" t="s">
        <v>1273</v>
      </c>
      <c r="S9" s="9" t="s">
        <v>233</v>
      </c>
      <c r="T9" s="11" t="s">
        <v>2058</v>
      </c>
      <c r="U9" s="11"/>
      <c r="V9" s="9" t="s">
        <v>797</v>
      </c>
      <c r="W9" s="11" t="s">
        <v>2059</v>
      </c>
    </row>
    <row r="10" customFormat="false" ht="146.25" hidden="false" customHeight="true" outlineLevel="0" collapsed="false">
      <c r="A10" s="11" t="n">
        <v>6</v>
      </c>
      <c r="B10" s="8" t="s">
        <v>356</v>
      </c>
      <c r="C10" s="11" t="s">
        <v>271</v>
      </c>
      <c r="D10" s="17" t="s">
        <v>2060</v>
      </c>
      <c r="E10" s="9" t="s">
        <v>1251</v>
      </c>
      <c r="F10" s="11" t="s">
        <v>183</v>
      </c>
      <c r="G10" s="11" t="s">
        <v>2061</v>
      </c>
      <c r="H10" s="11" t="s">
        <v>2062</v>
      </c>
      <c r="I10" s="11" t="s">
        <v>2063</v>
      </c>
      <c r="J10" s="11" t="s">
        <v>920</v>
      </c>
      <c r="K10" s="9" t="s">
        <v>357</v>
      </c>
      <c r="L10" s="17" t="s">
        <v>921</v>
      </c>
      <c r="M10" s="11" t="s">
        <v>2064</v>
      </c>
      <c r="N10" s="11" t="s">
        <v>2065</v>
      </c>
      <c r="O10" s="11" t="s">
        <v>2066</v>
      </c>
      <c r="P10" s="11" t="s">
        <v>2067</v>
      </c>
      <c r="Q10" s="11" t="s">
        <v>2068</v>
      </c>
      <c r="R10" s="11" t="s">
        <v>1273</v>
      </c>
      <c r="S10" s="9" t="s">
        <v>233</v>
      </c>
      <c r="T10" s="11" t="s">
        <v>2069</v>
      </c>
      <c r="U10" s="11" t="s">
        <v>2070</v>
      </c>
      <c r="V10" s="9" t="s">
        <v>781</v>
      </c>
      <c r="W10" s="11" t="s">
        <v>2071</v>
      </c>
    </row>
    <row r="11" customFormat="false" ht="133.5" hidden="false" customHeight="true" outlineLevel="0" collapsed="false">
      <c r="A11" s="11" t="n">
        <v>7</v>
      </c>
      <c r="B11" s="8" t="s">
        <v>358</v>
      </c>
      <c r="C11" s="11" t="s">
        <v>359</v>
      </c>
      <c r="D11" s="17" t="s">
        <v>2072</v>
      </c>
      <c r="E11" s="9" t="s">
        <v>1251</v>
      </c>
      <c r="F11" s="11" t="s">
        <v>183</v>
      </c>
      <c r="G11" s="11" t="s">
        <v>2073</v>
      </c>
      <c r="H11" s="11" t="s">
        <v>2074</v>
      </c>
      <c r="I11" s="11" t="s">
        <v>2075</v>
      </c>
      <c r="J11" s="11" t="s">
        <v>922</v>
      </c>
      <c r="K11" s="9" t="s">
        <v>360</v>
      </c>
      <c r="L11" s="17" t="s">
        <v>923</v>
      </c>
      <c r="M11" s="11" t="s">
        <v>2076</v>
      </c>
      <c r="N11" s="11" t="s">
        <v>2077</v>
      </c>
      <c r="O11" s="11" t="s">
        <v>2078</v>
      </c>
      <c r="P11" s="11" t="s">
        <v>2079</v>
      </c>
      <c r="Q11" s="11" t="s">
        <v>2080</v>
      </c>
      <c r="R11" s="11" t="s">
        <v>1273</v>
      </c>
      <c r="S11" s="9" t="s">
        <v>233</v>
      </c>
      <c r="T11" s="11" t="s">
        <v>2081</v>
      </c>
      <c r="U11" s="11"/>
      <c r="V11" s="9" t="s">
        <v>789</v>
      </c>
      <c r="W11" s="11" t="s">
        <v>2082</v>
      </c>
    </row>
    <row r="12" customFormat="false" ht="300" hidden="false" customHeight="true" outlineLevel="0" collapsed="false">
      <c r="A12" s="11" t="n">
        <v>8</v>
      </c>
      <c r="B12" s="8" t="s">
        <v>361</v>
      </c>
      <c r="C12" s="11" t="s">
        <v>89</v>
      </c>
      <c r="D12" s="17" t="s">
        <v>2083</v>
      </c>
      <c r="E12" s="9" t="s">
        <v>1251</v>
      </c>
      <c r="F12" s="11" t="s">
        <v>362</v>
      </c>
      <c r="G12" s="11" t="s">
        <v>2084</v>
      </c>
      <c r="H12" s="11" t="s">
        <v>2085</v>
      </c>
      <c r="I12" s="11" t="s">
        <v>2086</v>
      </c>
      <c r="J12" s="11" t="s">
        <v>924</v>
      </c>
      <c r="K12" s="9" t="s">
        <v>363</v>
      </c>
      <c r="L12" s="17" t="s">
        <v>925</v>
      </c>
      <c r="M12" s="11" t="s">
        <v>2087</v>
      </c>
      <c r="N12" s="11" t="s">
        <v>2088</v>
      </c>
      <c r="O12" s="11" t="s">
        <v>2089</v>
      </c>
      <c r="P12" s="11" t="s">
        <v>2090</v>
      </c>
      <c r="Q12" s="11" t="s">
        <v>2091</v>
      </c>
      <c r="R12" s="11" t="s">
        <v>2092</v>
      </c>
      <c r="S12" s="9" t="s">
        <v>1310</v>
      </c>
      <c r="T12" s="11" t="s">
        <v>2093</v>
      </c>
      <c r="U12" s="11" t="s">
        <v>2094</v>
      </c>
      <c r="V12" s="9" t="s">
        <v>789</v>
      </c>
      <c r="W12" s="11" t="s">
        <v>2095</v>
      </c>
    </row>
    <row r="13" customFormat="false" ht="300" hidden="false" customHeight="true" outlineLevel="0" collapsed="false">
      <c r="A13" s="11" t="n">
        <v>9</v>
      </c>
      <c r="B13" s="8" t="s">
        <v>364</v>
      </c>
      <c r="C13" s="11" t="s">
        <v>202</v>
      </c>
      <c r="D13" s="17" t="s">
        <v>2096</v>
      </c>
      <c r="E13" s="9" t="s">
        <v>1251</v>
      </c>
      <c r="F13" s="11" t="s">
        <v>365</v>
      </c>
      <c r="G13" s="11" t="s">
        <v>2097</v>
      </c>
      <c r="H13" s="11" t="s">
        <v>2098</v>
      </c>
      <c r="I13" s="11" t="s">
        <v>2099</v>
      </c>
      <c r="J13" s="11" t="s">
        <v>926</v>
      </c>
      <c r="K13" s="9" t="s">
        <v>366</v>
      </c>
      <c r="L13" s="17" t="s">
        <v>927</v>
      </c>
      <c r="M13" s="11" t="s">
        <v>2100</v>
      </c>
      <c r="N13" s="11" t="s">
        <v>2101</v>
      </c>
      <c r="O13" s="11" t="s">
        <v>2102</v>
      </c>
      <c r="P13" s="11" t="s">
        <v>2103</v>
      </c>
      <c r="Q13" s="11" t="s">
        <v>2104</v>
      </c>
      <c r="R13" s="11" t="s">
        <v>2105</v>
      </c>
      <c r="S13" s="9" t="s">
        <v>1261</v>
      </c>
      <c r="T13" s="11" t="s">
        <v>2106</v>
      </c>
      <c r="U13" s="11" t="s">
        <v>2107</v>
      </c>
      <c r="V13" s="9" t="s">
        <v>789</v>
      </c>
      <c r="W13" s="11" t="s">
        <v>2108</v>
      </c>
    </row>
    <row r="14" customFormat="false" ht="170.25" hidden="false" customHeight="true" outlineLevel="0" collapsed="false">
      <c r="A14" s="11" t="n">
        <v>10</v>
      </c>
      <c r="B14" s="8" t="s">
        <v>367</v>
      </c>
      <c r="C14" s="11" t="s">
        <v>283</v>
      </c>
      <c r="D14" s="17" t="s">
        <v>2109</v>
      </c>
      <c r="E14" s="9" t="s">
        <v>1251</v>
      </c>
      <c r="F14" s="11" t="s">
        <v>368</v>
      </c>
      <c r="G14" s="11" t="s">
        <v>2110</v>
      </c>
      <c r="H14" s="11" t="s">
        <v>2111</v>
      </c>
      <c r="I14" s="11" t="s">
        <v>2112</v>
      </c>
      <c r="J14" s="11" t="s">
        <v>928</v>
      </c>
      <c r="K14" s="9" t="s">
        <v>369</v>
      </c>
      <c r="L14" s="17" t="s">
        <v>929</v>
      </c>
      <c r="M14" s="11" t="s">
        <v>2113</v>
      </c>
      <c r="N14" s="11" t="s">
        <v>2114</v>
      </c>
      <c r="O14" s="11" t="s">
        <v>2115</v>
      </c>
      <c r="P14" s="11" t="s">
        <v>2116</v>
      </c>
      <c r="Q14" s="11" t="s">
        <v>2117</v>
      </c>
      <c r="R14" s="11" t="s">
        <v>1273</v>
      </c>
      <c r="S14" s="9" t="s">
        <v>233</v>
      </c>
      <c r="T14" s="11" t="s">
        <v>2118</v>
      </c>
      <c r="U14" s="11" t="s">
        <v>2119</v>
      </c>
      <c r="V14" s="9" t="s">
        <v>789</v>
      </c>
      <c r="W14" s="11" t="s">
        <v>2120</v>
      </c>
    </row>
    <row r="15" customFormat="false" ht="97.5" hidden="false" customHeight="true" outlineLevel="0" collapsed="false">
      <c r="A15" s="11" t="n">
        <v>11</v>
      </c>
      <c r="B15" s="8" t="s">
        <v>370</v>
      </c>
      <c r="C15" s="11" t="s">
        <v>371</v>
      </c>
      <c r="D15" s="17" t="s">
        <v>2121</v>
      </c>
      <c r="E15" s="9" t="s">
        <v>1251</v>
      </c>
      <c r="F15" s="11" t="s">
        <v>183</v>
      </c>
      <c r="G15" s="11" t="s">
        <v>2122</v>
      </c>
      <c r="H15" s="11" t="s">
        <v>2123</v>
      </c>
      <c r="I15" s="11" t="s">
        <v>2124</v>
      </c>
      <c r="J15" s="11" t="s">
        <v>930</v>
      </c>
      <c r="K15" s="9" t="s">
        <v>233</v>
      </c>
      <c r="L15" s="17" t="s">
        <v>931</v>
      </c>
      <c r="M15" s="11" t="s">
        <v>2125</v>
      </c>
      <c r="N15" s="11" t="s">
        <v>2126</v>
      </c>
      <c r="O15" s="11" t="s">
        <v>2127</v>
      </c>
      <c r="P15" s="11" t="s">
        <v>2128</v>
      </c>
      <c r="Q15" s="11" t="s">
        <v>2129</v>
      </c>
      <c r="R15" s="11" t="s">
        <v>1273</v>
      </c>
      <c r="S15" s="9" t="s">
        <v>233</v>
      </c>
      <c r="T15" s="11" t="s">
        <v>2130</v>
      </c>
      <c r="U15" s="11"/>
      <c r="V15" s="9" t="s">
        <v>789</v>
      </c>
      <c r="W15" s="11" t="s">
        <v>2131</v>
      </c>
    </row>
    <row r="16" customFormat="false" ht="97.5" hidden="false" customHeight="true" outlineLevel="0" collapsed="false">
      <c r="A16" s="11" t="n">
        <v>12</v>
      </c>
      <c r="B16" s="8" t="s">
        <v>372</v>
      </c>
      <c r="C16" s="11" t="s">
        <v>373</v>
      </c>
      <c r="D16" s="17" t="s">
        <v>813</v>
      </c>
      <c r="E16" s="9" t="s">
        <v>1251</v>
      </c>
      <c r="F16" s="11" t="s">
        <v>374</v>
      </c>
      <c r="G16" s="11" t="s">
        <v>2132</v>
      </c>
      <c r="H16" s="11" t="s">
        <v>2133</v>
      </c>
      <c r="I16" s="11" t="s">
        <v>2134</v>
      </c>
      <c r="J16" s="11" t="s">
        <v>932</v>
      </c>
      <c r="K16" s="9" t="s">
        <v>375</v>
      </c>
      <c r="L16" s="17" t="s">
        <v>933</v>
      </c>
      <c r="M16" s="11" t="s">
        <v>2135</v>
      </c>
      <c r="N16" s="11" t="s">
        <v>2136</v>
      </c>
      <c r="O16" s="11" t="s">
        <v>1270</v>
      </c>
      <c r="P16" s="11" t="s">
        <v>2137</v>
      </c>
      <c r="Q16" s="11" t="s">
        <v>2138</v>
      </c>
      <c r="R16" s="11" t="s">
        <v>1273</v>
      </c>
      <c r="S16" s="9" t="s">
        <v>1296</v>
      </c>
      <c r="T16" s="11" t="s">
        <v>2139</v>
      </c>
      <c r="U16" s="11"/>
      <c r="V16" s="9" t="s">
        <v>797</v>
      </c>
      <c r="W16" s="11" t="s">
        <v>2140</v>
      </c>
    </row>
    <row r="17" customFormat="false" ht="121.5" hidden="false" customHeight="true" outlineLevel="0" collapsed="false">
      <c r="A17" s="11" t="n">
        <v>13</v>
      </c>
      <c r="B17" s="8" t="s">
        <v>376</v>
      </c>
      <c r="C17" s="11" t="s">
        <v>377</v>
      </c>
      <c r="D17" s="17" t="s">
        <v>935</v>
      </c>
      <c r="E17" s="9" t="s">
        <v>1251</v>
      </c>
      <c r="F17" s="11" t="s">
        <v>183</v>
      </c>
      <c r="G17" s="11" t="s">
        <v>2141</v>
      </c>
      <c r="H17" s="11" t="s">
        <v>2142</v>
      </c>
      <c r="I17" s="11" t="s">
        <v>2143</v>
      </c>
      <c r="J17" s="11" t="s">
        <v>934</v>
      </c>
      <c r="K17" s="9" t="s">
        <v>378</v>
      </c>
      <c r="L17" s="17" t="s">
        <v>935</v>
      </c>
      <c r="M17" s="11" t="s">
        <v>2144</v>
      </c>
      <c r="N17" s="11" t="s">
        <v>2145</v>
      </c>
      <c r="O17" s="11" t="s">
        <v>2146</v>
      </c>
      <c r="P17" s="11" t="s">
        <v>2147</v>
      </c>
      <c r="Q17" s="11" t="s">
        <v>2148</v>
      </c>
      <c r="R17" s="11" t="s">
        <v>1273</v>
      </c>
      <c r="S17" s="9" t="s">
        <v>233</v>
      </c>
      <c r="T17" s="11" t="s">
        <v>2149</v>
      </c>
      <c r="U17" s="11" t="s">
        <v>2150</v>
      </c>
      <c r="V17" s="9" t="s">
        <v>789</v>
      </c>
      <c r="W17" s="11" t="s">
        <v>2151</v>
      </c>
    </row>
    <row r="18" customFormat="false" ht="170.25" hidden="false" customHeight="true" outlineLevel="0" collapsed="false">
      <c r="A18" s="11" t="n">
        <v>14</v>
      </c>
      <c r="B18" s="8" t="s">
        <v>379</v>
      </c>
      <c r="C18" s="11" t="s">
        <v>380</v>
      </c>
      <c r="D18" s="17" t="s">
        <v>2152</v>
      </c>
      <c r="E18" s="9" t="s">
        <v>1251</v>
      </c>
      <c r="F18" s="11" t="s">
        <v>183</v>
      </c>
      <c r="G18" s="11" t="s">
        <v>2153</v>
      </c>
      <c r="H18" s="11" t="s">
        <v>2154</v>
      </c>
      <c r="I18" s="11" t="s">
        <v>2155</v>
      </c>
      <c r="J18" s="11" t="s">
        <v>936</v>
      </c>
      <c r="K18" s="9" t="s">
        <v>181</v>
      </c>
      <c r="L18" s="17" t="s">
        <v>937</v>
      </c>
      <c r="M18" s="11" t="s">
        <v>2156</v>
      </c>
      <c r="N18" s="11" t="s">
        <v>2157</v>
      </c>
      <c r="O18" s="11" t="s">
        <v>2158</v>
      </c>
      <c r="P18" s="11" t="s">
        <v>2159</v>
      </c>
      <c r="Q18" s="11" t="s">
        <v>2160</v>
      </c>
      <c r="R18" s="11" t="s">
        <v>1273</v>
      </c>
      <c r="S18" s="9" t="s">
        <v>233</v>
      </c>
      <c r="T18" s="11" t="s">
        <v>2161</v>
      </c>
      <c r="U18" s="11" t="s">
        <v>2162</v>
      </c>
      <c r="V18" s="9" t="s">
        <v>789</v>
      </c>
      <c r="W18" s="11" t="s">
        <v>2163</v>
      </c>
    </row>
    <row r="19" customFormat="false" ht="183" hidden="false" customHeight="true" outlineLevel="0" collapsed="false">
      <c r="A19" s="11" t="n">
        <v>15</v>
      </c>
      <c r="B19" s="8" t="s">
        <v>381</v>
      </c>
      <c r="C19" s="11" t="s">
        <v>382</v>
      </c>
      <c r="D19" s="17" t="s">
        <v>1458</v>
      </c>
      <c r="E19" s="9" t="s">
        <v>1251</v>
      </c>
      <c r="F19" s="11" t="s">
        <v>383</v>
      </c>
      <c r="G19" s="11" t="s">
        <v>2164</v>
      </c>
      <c r="H19" s="11" t="s">
        <v>2165</v>
      </c>
      <c r="I19" s="11" t="s">
        <v>2166</v>
      </c>
      <c r="J19" s="11" t="s">
        <v>938</v>
      </c>
      <c r="K19" s="9" t="s">
        <v>384</v>
      </c>
      <c r="L19" s="17" t="s">
        <v>821</v>
      </c>
      <c r="M19" s="11" t="s">
        <v>2167</v>
      </c>
      <c r="N19" s="11" t="s">
        <v>2168</v>
      </c>
      <c r="O19" s="11" t="s">
        <v>2169</v>
      </c>
      <c r="P19" s="11" t="s">
        <v>2170</v>
      </c>
      <c r="Q19" s="11" t="s">
        <v>2171</v>
      </c>
      <c r="R19" s="11" t="s">
        <v>1273</v>
      </c>
      <c r="S19" s="9" t="s">
        <v>233</v>
      </c>
      <c r="T19" s="11" t="s">
        <v>2172</v>
      </c>
      <c r="U19" s="11"/>
      <c r="V19" s="9" t="s">
        <v>797</v>
      </c>
      <c r="W19" s="11" t="s">
        <v>2173</v>
      </c>
    </row>
    <row r="20" customFormat="false" ht="84.75" hidden="false" customHeight="true" outlineLevel="0" collapsed="false">
      <c r="A20" s="11" t="n">
        <v>16</v>
      </c>
      <c r="B20" s="8" t="s">
        <v>385</v>
      </c>
      <c r="C20" s="11" t="s">
        <v>304</v>
      </c>
      <c r="D20" s="17" t="s">
        <v>2174</v>
      </c>
      <c r="E20" s="9" t="s">
        <v>1251</v>
      </c>
      <c r="F20" s="11" t="s">
        <v>386</v>
      </c>
      <c r="G20" s="11" t="s">
        <v>2175</v>
      </c>
      <c r="H20" s="11" t="s">
        <v>2176</v>
      </c>
      <c r="I20" s="11" t="s">
        <v>2177</v>
      </c>
      <c r="J20" s="11" t="s">
        <v>939</v>
      </c>
      <c r="K20" s="9" t="s">
        <v>387</v>
      </c>
      <c r="L20" s="17" t="s">
        <v>940</v>
      </c>
      <c r="M20" s="11" t="s">
        <v>2178</v>
      </c>
      <c r="N20" s="11" t="s">
        <v>2179</v>
      </c>
      <c r="O20" s="11" t="s">
        <v>2180</v>
      </c>
      <c r="P20" s="11" t="s">
        <v>2181</v>
      </c>
      <c r="Q20" s="11" t="s">
        <v>2182</v>
      </c>
      <c r="R20" s="11" t="s">
        <v>2183</v>
      </c>
      <c r="S20" s="9" t="s">
        <v>1261</v>
      </c>
      <c r="T20" s="11" t="s">
        <v>2184</v>
      </c>
      <c r="U20" s="11" t="s">
        <v>2185</v>
      </c>
      <c r="V20" s="9" t="s">
        <v>789</v>
      </c>
      <c r="W20" s="11" t="s">
        <v>2186</v>
      </c>
    </row>
    <row r="21" customFormat="false" ht="121.5" hidden="false" customHeight="true" outlineLevel="0" collapsed="false">
      <c r="A21" s="11" t="n">
        <v>17</v>
      </c>
      <c r="B21" s="8" t="s">
        <v>388</v>
      </c>
      <c r="C21" s="11" t="s">
        <v>225</v>
      </c>
      <c r="D21" s="17" t="s">
        <v>2187</v>
      </c>
      <c r="E21" s="9" t="s">
        <v>1251</v>
      </c>
      <c r="F21" s="11" t="s">
        <v>183</v>
      </c>
      <c r="G21" s="11" t="s">
        <v>2188</v>
      </c>
      <c r="H21" s="11" t="s">
        <v>2189</v>
      </c>
      <c r="I21" s="11" t="s">
        <v>2190</v>
      </c>
      <c r="J21" s="11" t="s">
        <v>941</v>
      </c>
      <c r="K21" s="9" t="s">
        <v>389</v>
      </c>
      <c r="L21" s="17" t="s">
        <v>942</v>
      </c>
      <c r="M21" s="11" t="s">
        <v>2191</v>
      </c>
      <c r="N21" s="11" t="s">
        <v>2192</v>
      </c>
      <c r="O21" s="11" t="s">
        <v>2193</v>
      </c>
      <c r="P21" s="11" t="s">
        <v>2194</v>
      </c>
      <c r="Q21" s="11" t="s">
        <v>2195</v>
      </c>
      <c r="R21" s="11" t="s">
        <v>2196</v>
      </c>
      <c r="S21" s="9" t="s">
        <v>1296</v>
      </c>
      <c r="T21" s="11" t="s">
        <v>2197</v>
      </c>
      <c r="U21" s="11" t="s">
        <v>2198</v>
      </c>
      <c r="V21" s="9" t="s">
        <v>789</v>
      </c>
      <c r="W21" s="11" t="s">
        <v>2199</v>
      </c>
    </row>
    <row r="22" customFormat="false" ht="72.75" hidden="false" customHeight="true" outlineLevel="0" collapsed="false">
      <c r="A22" s="11" t="n">
        <v>18</v>
      </c>
      <c r="B22" s="8" t="s">
        <v>390</v>
      </c>
      <c r="C22" s="11" t="s">
        <v>391</v>
      </c>
      <c r="D22" s="17" t="s">
        <v>2200</v>
      </c>
      <c r="E22" s="9" t="s">
        <v>1251</v>
      </c>
      <c r="F22" s="11" t="s">
        <v>183</v>
      </c>
      <c r="G22" s="11" t="s">
        <v>2201</v>
      </c>
      <c r="H22" s="11" t="s">
        <v>2202</v>
      </c>
      <c r="I22" s="11" t="s">
        <v>2203</v>
      </c>
      <c r="J22" s="11" t="s">
        <v>943</v>
      </c>
      <c r="K22" s="9" t="s">
        <v>233</v>
      </c>
      <c r="L22" s="17" t="s">
        <v>944</v>
      </c>
      <c r="M22" s="11" t="s">
        <v>2204</v>
      </c>
      <c r="N22" s="11" t="s">
        <v>2205</v>
      </c>
      <c r="O22" s="11" t="s">
        <v>2180</v>
      </c>
      <c r="P22" s="11" t="s">
        <v>2206</v>
      </c>
      <c r="Q22" s="11" t="s">
        <v>2207</v>
      </c>
      <c r="R22" s="11" t="s">
        <v>1273</v>
      </c>
      <c r="S22" s="9" t="s">
        <v>233</v>
      </c>
      <c r="T22" s="11" t="s">
        <v>2208</v>
      </c>
      <c r="U22" s="11"/>
      <c r="V22" s="9" t="s">
        <v>797</v>
      </c>
      <c r="W22" s="11" t="s">
        <v>2209</v>
      </c>
    </row>
    <row r="23" customFormat="false" ht="158.25" hidden="false" customHeight="true" outlineLevel="0" collapsed="false">
      <c r="A23" s="11" t="n">
        <v>19</v>
      </c>
      <c r="B23" s="8" t="s">
        <v>392</v>
      </c>
      <c r="C23" s="11" t="s">
        <v>314</v>
      </c>
      <c r="D23" s="17" t="s">
        <v>2210</v>
      </c>
      <c r="E23" s="9" t="s">
        <v>1251</v>
      </c>
      <c r="F23" s="11" t="s">
        <v>393</v>
      </c>
      <c r="G23" s="11" t="s">
        <v>2211</v>
      </c>
      <c r="H23" s="11" t="s">
        <v>2212</v>
      </c>
      <c r="I23" s="11" t="s">
        <v>2213</v>
      </c>
      <c r="J23" s="11" t="s">
        <v>945</v>
      </c>
      <c r="K23" s="9" t="s">
        <v>394</v>
      </c>
      <c r="L23" s="17" t="s">
        <v>946</v>
      </c>
      <c r="M23" s="11" t="s">
        <v>2214</v>
      </c>
      <c r="N23" s="11" t="s">
        <v>2215</v>
      </c>
      <c r="O23" s="11" t="s">
        <v>2216</v>
      </c>
      <c r="P23" s="11" t="s">
        <v>2217</v>
      </c>
      <c r="Q23" s="11" t="s">
        <v>2218</v>
      </c>
      <c r="R23" s="11" t="s">
        <v>1273</v>
      </c>
      <c r="S23" s="9" t="s">
        <v>233</v>
      </c>
      <c r="T23" s="11" t="s">
        <v>2219</v>
      </c>
      <c r="U23" s="11" t="s">
        <v>2220</v>
      </c>
      <c r="V23" s="9" t="s">
        <v>789</v>
      </c>
      <c r="W23" s="11" t="s">
        <v>2221</v>
      </c>
    </row>
    <row r="24" customFormat="false" ht="158.25" hidden="false" customHeight="true" outlineLevel="0" collapsed="false">
      <c r="A24" s="11" t="n">
        <v>20</v>
      </c>
      <c r="B24" s="8" t="s">
        <v>395</v>
      </c>
      <c r="C24" s="11" t="s">
        <v>396</v>
      </c>
      <c r="D24" s="17" t="s">
        <v>2222</v>
      </c>
      <c r="E24" s="9" t="s">
        <v>1276</v>
      </c>
      <c r="F24" s="11" t="s">
        <v>397</v>
      </c>
      <c r="G24" s="11" t="s">
        <v>2223</v>
      </c>
      <c r="H24" s="11" t="s">
        <v>2224</v>
      </c>
      <c r="I24" s="11" t="s">
        <v>2225</v>
      </c>
      <c r="J24" s="11" t="s">
        <v>947</v>
      </c>
      <c r="K24" s="9" t="s">
        <v>398</v>
      </c>
      <c r="L24" s="17" t="s">
        <v>948</v>
      </c>
      <c r="M24" s="11" t="s">
        <v>2226</v>
      </c>
      <c r="N24" s="11" t="s">
        <v>2227</v>
      </c>
      <c r="O24" s="11" t="s">
        <v>1270</v>
      </c>
      <c r="P24" s="11" t="s">
        <v>2228</v>
      </c>
      <c r="Q24" s="11" t="s">
        <v>1523</v>
      </c>
      <c r="R24" s="11" t="s">
        <v>1524</v>
      </c>
      <c r="S24" s="9" t="s">
        <v>1261</v>
      </c>
      <c r="T24" s="11" t="s">
        <v>2229</v>
      </c>
      <c r="U24" s="11" t="s">
        <v>2230</v>
      </c>
      <c r="V24" s="9" t="s">
        <v>781</v>
      </c>
      <c r="W24" s="11" t="s">
        <v>2231</v>
      </c>
    </row>
    <row r="25" customFormat="false" ht="72.75" hidden="false" customHeight="true" outlineLevel="0" collapsed="false">
      <c r="A25" s="11" t="n">
        <v>21</v>
      </c>
      <c r="B25" s="8" t="s">
        <v>399</v>
      </c>
      <c r="C25" s="11" t="s">
        <v>400</v>
      </c>
      <c r="D25" s="17" t="s">
        <v>950</v>
      </c>
      <c r="E25" s="9" t="s">
        <v>1251</v>
      </c>
      <c r="F25" s="11" t="s">
        <v>323</v>
      </c>
      <c r="G25" s="11" t="s">
        <v>2223</v>
      </c>
      <c r="H25" s="11" t="s">
        <v>2232</v>
      </c>
      <c r="I25" s="11" t="s">
        <v>2233</v>
      </c>
      <c r="J25" s="11" t="s">
        <v>949</v>
      </c>
      <c r="K25" s="9" t="s">
        <v>233</v>
      </c>
      <c r="L25" s="17" t="s">
        <v>950</v>
      </c>
      <c r="M25" s="11" t="s">
        <v>2234</v>
      </c>
      <c r="N25" s="11" t="s">
        <v>2235</v>
      </c>
      <c r="O25" s="11" t="s">
        <v>1270</v>
      </c>
      <c r="P25" s="11" t="s">
        <v>2236</v>
      </c>
      <c r="Q25" s="11" t="s">
        <v>1523</v>
      </c>
      <c r="R25" s="11" t="s">
        <v>1524</v>
      </c>
      <c r="S25" s="9" t="s">
        <v>1261</v>
      </c>
      <c r="T25" s="11" t="s">
        <v>2237</v>
      </c>
      <c r="U25" s="11"/>
      <c r="V25" s="9" t="s">
        <v>781</v>
      </c>
      <c r="W25" s="11" t="s">
        <v>2238</v>
      </c>
    </row>
    <row r="26" customFormat="false" ht="121.5" hidden="false" customHeight="true" outlineLevel="0" collapsed="false">
      <c r="A26" s="11" t="n">
        <v>22</v>
      </c>
      <c r="B26" s="8" t="s">
        <v>401</v>
      </c>
      <c r="C26" s="11" t="s">
        <v>89</v>
      </c>
      <c r="D26" s="17" t="s">
        <v>2239</v>
      </c>
      <c r="E26" s="9" t="s">
        <v>1251</v>
      </c>
      <c r="F26" s="11" t="s">
        <v>402</v>
      </c>
      <c r="G26" s="11" t="s">
        <v>2240</v>
      </c>
      <c r="H26" s="11" t="s">
        <v>2241</v>
      </c>
      <c r="I26" s="11" t="s">
        <v>2242</v>
      </c>
      <c r="J26" s="11" t="s">
        <v>951</v>
      </c>
      <c r="K26" s="9" t="s">
        <v>181</v>
      </c>
      <c r="L26" s="17" t="s">
        <v>925</v>
      </c>
      <c r="M26" s="11" t="s">
        <v>2243</v>
      </c>
      <c r="N26" s="11" t="s">
        <v>2244</v>
      </c>
      <c r="O26" s="11" t="s">
        <v>2245</v>
      </c>
      <c r="P26" s="11" t="s">
        <v>2246</v>
      </c>
      <c r="Q26" s="11" t="s">
        <v>2247</v>
      </c>
      <c r="R26" s="11" t="s">
        <v>2248</v>
      </c>
      <c r="S26" s="9" t="s">
        <v>1261</v>
      </c>
      <c r="T26" s="11" t="s">
        <v>2249</v>
      </c>
      <c r="U26" s="11" t="s">
        <v>2250</v>
      </c>
      <c r="V26" s="9" t="s">
        <v>789</v>
      </c>
      <c r="W26" s="11" t="s">
        <v>2251</v>
      </c>
    </row>
    <row r="27" customFormat="false" ht="243.75" hidden="false" customHeight="true" outlineLevel="0" collapsed="false">
      <c r="A27" s="11" t="n">
        <v>23</v>
      </c>
      <c r="B27" s="8" t="s">
        <v>403</v>
      </c>
      <c r="C27" s="11" t="s">
        <v>318</v>
      </c>
      <c r="D27" s="17" t="s">
        <v>953</v>
      </c>
      <c r="E27" s="9" t="s">
        <v>1251</v>
      </c>
      <c r="F27" s="11" t="s">
        <v>404</v>
      </c>
      <c r="G27" s="11" t="s">
        <v>2252</v>
      </c>
      <c r="H27" s="11" t="s">
        <v>2253</v>
      </c>
      <c r="I27" s="11" t="s">
        <v>2254</v>
      </c>
      <c r="J27" s="11" t="s">
        <v>952</v>
      </c>
      <c r="K27" s="9" t="s">
        <v>405</v>
      </c>
      <c r="L27" s="17" t="s">
        <v>953</v>
      </c>
      <c r="M27" s="11" t="s">
        <v>2255</v>
      </c>
      <c r="N27" s="11" t="s">
        <v>2256</v>
      </c>
      <c r="O27" s="11" t="s">
        <v>2257</v>
      </c>
      <c r="P27" s="11" t="s">
        <v>2258</v>
      </c>
      <c r="Q27" s="11" t="s">
        <v>2259</v>
      </c>
      <c r="R27" s="11" t="s">
        <v>2260</v>
      </c>
      <c r="S27" s="9" t="s">
        <v>1310</v>
      </c>
      <c r="T27" s="11" t="s">
        <v>2261</v>
      </c>
      <c r="U27" s="11" t="s">
        <v>2262</v>
      </c>
      <c r="V27" s="9" t="s">
        <v>789</v>
      </c>
      <c r="W27" s="11" t="s">
        <v>2263</v>
      </c>
    </row>
    <row r="28" customFormat="false" ht="97.5" hidden="false" customHeight="true" outlineLevel="0" collapsed="false">
      <c r="A28" s="11" t="n">
        <v>24</v>
      </c>
      <c r="B28" s="8" t="s">
        <v>406</v>
      </c>
      <c r="C28" s="11" t="s">
        <v>407</v>
      </c>
      <c r="D28" s="17" t="s">
        <v>955</v>
      </c>
      <c r="E28" s="9" t="s">
        <v>1251</v>
      </c>
      <c r="F28" s="11" t="s">
        <v>397</v>
      </c>
      <c r="G28" s="11" t="s">
        <v>2264</v>
      </c>
      <c r="H28" s="11" t="s">
        <v>2265</v>
      </c>
      <c r="I28" s="11" t="s">
        <v>2266</v>
      </c>
      <c r="J28" s="11" t="s">
        <v>954</v>
      </c>
      <c r="K28" s="9" t="s">
        <v>233</v>
      </c>
      <c r="L28" s="17" t="s">
        <v>955</v>
      </c>
      <c r="M28" s="11" t="s">
        <v>2267</v>
      </c>
      <c r="N28" s="11" t="s">
        <v>2268</v>
      </c>
      <c r="O28" s="11" t="s">
        <v>1270</v>
      </c>
      <c r="P28" s="11" t="s">
        <v>2269</v>
      </c>
      <c r="Q28" s="11" t="s">
        <v>1523</v>
      </c>
      <c r="R28" s="11" t="s">
        <v>1524</v>
      </c>
      <c r="S28" s="9" t="s">
        <v>1261</v>
      </c>
      <c r="T28" s="11" t="s">
        <v>2270</v>
      </c>
      <c r="U28" s="11"/>
      <c r="V28" s="9" t="s">
        <v>789</v>
      </c>
      <c r="W28" s="11" t="s">
        <v>2271</v>
      </c>
    </row>
    <row r="29" customFormat="false" ht="219" hidden="false" customHeight="true" outlineLevel="0" collapsed="false">
      <c r="A29" s="11" t="n">
        <v>25</v>
      </c>
      <c r="B29" s="8" t="s">
        <v>408</v>
      </c>
      <c r="C29" s="11" t="s">
        <v>409</v>
      </c>
      <c r="D29" s="17" t="s">
        <v>2272</v>
      </c>
      <c r="E29" s="9" t="s">
        <v>1251</v>
      </c>
      <c r="F29" s="11" t="s">
        <v>410</v>
      </c>
      <c r="G29" s="11" t="s">
        <v>2273</v>
      </c>
      <c r="H29" s="11" t="s">
        <v>2274</v>
      </c>
      <c r="I29" s="11" t="s">
        <v>2275</v>
      </c>
      <c r="J29" s="11" t="s">
        <v>956</v>
      </c>
      <c r="K29" s="9" t="s">
        <v>411</v>
      </c>
      <c r="L29" s="17" t="s">
        <v>957</v>
      </c>
      <c r="M29" s="11" t="s">
        <v>2276</v>
      </c>
      <c r="N29" s="11" t="s">
        <v>2277</v>
      </c>
      <c r="O29" s="11" t="s">
        <v>2278</v>
      </c>
      <c r="P29" s="11" t="s">
        <v>2279</v>
      </c>
      <c r="Q29" s="11" t="s">
        <v>2280</v>
      </c>
      <c r="R29" s="11" t="s">
        <v>1273</v>
      </c>
      <c r="S29" s="9" t="s">
        <v>233</v>
      </c>
      <c r="T29" s="11" t="s">
        <v>2281</v>
      </c>
      <c r="U29" s="11" t="s">
        <v>2282</v>
      </c>
      <c r="V29" s="9" t="s">
        <v>789</v>
      </c>
      <c r="W29" s="11" t="s">
        <v>2283</v>
      </c>
    </row>
  </sheetData>
  <autoFilter ref="A4:W29"/>
  <conditionalFormatting sqref="K5:K29">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29">
    <cfRule type="cellIs" priority="6" operator="equal" aboveAverage="0" equalAverage="0" bottom="0" percent="0" rank="0" text="" dxfId="15">
      <formula>"Yes"</formula>
    </cfRule>
  </conditionalFormatting>
  <hyperlinks>
    <hyperlink ref="D5" r:id="rId1" display="https://www.aikido.dev/"/>
    <hyperlink ref="L5" r:id="rId2" display="https://www.aikido.dev/features/autofix"/>
    <hyperlink ref="D6" r:id="rId3" display="https://www.arnica.io/use-cases/hard-code-secrets"/>
    <hyperlink ref="L6" r:id="rId4" display="https://awards.thehackernews.com/winners/2026/arnica-agentic-code-security/"/>
    <hyperlink ref="D7" r:id="rId5" display="https://www.blackduck.com/platform.html"/>
    <hyperlink ref="L7" r:id="rId6" display="https://www.blackduck.com/blog/polaris-ai-security-updates-april-2026.html"/>
    <hyperlink ref="D8" r:id="rId7" display="https://checkmarx.com/product/secrets-detection/"/>
    <hyperlink ref="L8" r:id="rId8" display="https://checkmarx.com/product/secrets-detection/"/>
    <hyperlink ref="D9" r:id="rId9" display="https://www.cremit.io/"/>
    <hyperlink ref="L9" r:id="rId10" display="https://www.cremit.io/product"/>
    <hyperlink ref="D10" r:id="rId11" display="https://cycode.com/secrets-detection/"/>
    <hyperlink ref="L10" r:id="rId12" display="https://www.globenewswire.com/news-release/2026/09/23/3367485/0/en/cycode-extends-its-adlc-security-capabilities-to-developers-workstations-stopping-software-supply-chain-attacks-before-they-start.html"/>
    <hyperlink ref="D11" r:id="rId13" display="https://entro.security/"/>
    <hyperlink ref="L11" r:id="rId14" display="https://www.sailpoint.com/press-releases/sailpoint-announces-intent-to-acquire-entro-security"/>
    <hyperlink ref="D12" r:id="rId15" display="https://www.gitguardian.com/"/>
    <hyperlink ref="L12" r:id="rId16" display="https://docs.gitguardian.com/releases/saas/2026/09/07/changelog"/>
    <hyperlink ref="D13" r:id="rId17" display="https://docs.github.com/en/code-security/secret-scanning/introduction/about-secret-scanning"/>
    <hyperlink ref="L13" r:id="rId18" display="https://github.blog/changelog/2026-10-07-purpose-built-model-for-leaked-secret-detection/"/>
    <hyperlink ref="D14" r:id="rId19" display="https://help.hcl-software.com/appscan/ASoC/src_secrets_scanning.html"/>
    <hyperlink ref="L14" r:id="rId20" display="https://www.hcl-software.com/blog/appscan/hcl-appscan-360-v2.1-ai-application-security-with-faster-testing-and-automated-fixes"/>
    <hyperlink ref="D15" r:id="rId21" display="https://developer.hashicorp.com/hcp/docs/vault-radar"/>
    <hyperlink ref="L15" r:id="rId22" display="https://www.hashicorp.com/en/blog/hcp-vault-radar-agent-local-secret-scanning-at-enterprise-scale"/>
    <hyperlink ref="D16" r:id="rId23" display="https://www.jit.io/"/>
    <hyperlink ref="L16" r:id="rId24" display="https://www.jit.io/resources/jit-security/introducing-jits-agentic-appsec-platform-that-gets-real-work-done"/>
    <hyperlink ref="D17" r:id="rId25" display="https://www.legitsecurity.com/"/>
    <hyperlink ref="L17" r:id="rId26" display="https://www.legitsecurity.com/"/>
    <hyperlink ref="D18" r:id="rId27" display="https://www.nightfall.ai/solutions/protect-secret-and-keys"/>
    <hyperlink ref="L18" r:id="rId28" display="https://www.nightfall.ai/products/mcp-security"/>
    <hyperlink ref="D19" r:id="rId29" display="https://www.opentext.com/products/static-application-security-testing"/>
    <hyperlink ref="L19" r:id="rId30" display="https://blogs.opentext.com/opentext-fortify-remediation-aviator-audit-every-finding-fix-whats-real/"/>
    <hyperlink ref="D20" r:id="rId31" display="https://semgrep.dev/products/semgrep-secrets/"/>
    <hyperlink ref="L20" r:id="rId32" display="https://semgrep.dev/pricing/"/>
    <hyperlink ref="D21" r:id="rId33" display="https://snyk.io/product/snyk-secrets/"/>
    <hyperlink ref="L21" r:id="rId34" display="https://snyk.io/blog/snyk-secrets/"/>
    <hyperlink ref="D22" r:id="rId35" display="https://spectralops.io/"/>
    <hyperlink ref="L22" r:id="rId36" display="https://appsecsanta.com/spectralops"/>
    <hyperlink ref="D23" r:id="rId37" display="https://www.veracode.com/products/container-security/"/>
    <hyperlink ref="L23" r:id="rId38" display="https://docs.veracode.com/updates/r/c_all_static"/>
    <hyperlink ref="D24" r:id="rId39" display="https://github.com/betterleaks/betterleaks"/>
    <hyperlink ref="L24" r:id="rId40" display="https://www.helpnetsecurity.com/2026/03/19/betterleaks-open-source-secrets-scanner/"/>
    <hyperlink ref="D25" r:id="rId41" display="https://github.com/Yelp/detect-secrets"/>
    <hyperlink ref="L25" r:id="rId42" display="https://github.com/Yelp/detect-secrets"/>
    <hyperlink ref="D26" r:id="rId43" display="https://github.com/GitGuardian/ggshield"/>
    <hyperlink ref="L26" r:id="rId44" display="https://docs.gitguardian.com/releases/saas/2026/09/07/changelog"/>
    <hyperlink ref="D27" r:id="rId45" display="https://docs.gitlab.com/user/application_security/secret_detection/"/>
    <hyperlink ref="L27" r:id="rId46" display="https://docs.gitlab.com/user/application_security/secret_detection/"/>
    <hyperlink ref="D28" r:id="rId47" display="https://github.com/gitleaks/gitleaks"/>
    <hyperlink ref="L28" r:id="rId48" display="https://github.com/gitleaks/gitleaks"/>
    <hyperlink ref="D29" r:id="rId49" display="https://trufflesecurity.com/trufflehog-enterprise"/>
    <hyperlink ref="L29" r:id="rId50" display="https://trufflesecurity.com/docs/2026-septemb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2284</v>
      </c>
    </row>
    <row r="2" customFormat="false" ht="15" hidden="false" customHeight="false" outlineLevel="0" collapsed="false">
      <c r="A2" s="2" t="s">
        <v>2285</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72.75" hidden="false" customHeight="true" outlineLevel="0" collapsed="false">
      <c r="A5" s="11" t="n">
        <v>1</v>
      </c>
      <c r="B5" s="8" t="s">
        <v>263</v>
      </c>
      <c r="C5" s="11" t="s">
        <v>412</v>
      </c>
      <c r="D5" s="17" t="s">
        <v>2286</v>
      </c>
      <c r="E5" s="9" t="s">
        <v>1276</v>
      </c>
      <c r="F5" s="11" t="s">
        <v>183</v>
      </c>
      <c r="G5" s="11" t="s">
        <v>2287</v>
      </c>
      <c r="H5" s="11" t="s">
        <v>2288</v>
      </c>
      <c r="I5" s="11" t="s">
        <v>2289</v>
      </c>
      <c r="J5" s="11" t="s">
        <v>958</v>
      </c>
      <c r="K5" s="9" t="s">
        <v>413</v>
      </c>
      <c r="L5" s="17" t="s">
        <v>850</v>
      </c>
      <c r="M5" s="11" t="s">
        <v>2290</v>
      </c>
      <c r="N5" s="11" t="s">
        <v>2291</v>
      </c>
      <c r="O5" s="11" t="s">
        <v>1637</v>
      </c>
      <c r="P5" s="11" t="s">
        <v>2292</v>
      </c>
      <c r="Q5" s="11" t="s">
        <v>2290</v>
      </c>
      <c r="R5" s="11" t="s">
        <v>2290</v>
      </c>
      <c r="S5" s="9" t="s">
        <v>233</v>
      </c>
      <c r="T5" s="11" t="s">
        <v>2293</v>
      </c>
      <c r="U5" s="11"/>
      <c r="V5" s="9" t="s">
        <v>786</v>
      </c>
      <c r="W5" s="11" t="s">
        <v>2294</v>
      </c>
    </row>
    <row r="6" customFormat="false" ht="109.5" hidden="false" customHeight="true" outlineLevel="0" collapsed="false">
      <c r="A6" s="11" t="n">
        <v>2</v>
      </c>
      <c r="B6" s="8" t="s">
        <v>414</v>
      </c>
      <c r="C6" s="11" t="s">
        <v>325</v>
      </c>
      <c r="D6" s="17" t="s">
        <v>2295</v>
      </c>
      <c r="E6" s="9" t="s">
        <v>1251</v>
      </c>
      <c r="F6" s="11" t="s">
        <v>415</v>
      </c>
      <c r="G6" s="11" t="s">
        <v>2296</v>
      </c>
      <c r="H6" s="11" t="s">
        <v>2297</v>
      </c>
      <c r="I6" s="11" t="s">
        <v>2298</v>
      </c>
      <c r="J6" s="11" t="s">
        <v>959</v>
      </c>
      <c r="K6" s="9" t="s">
        <v>181</v>
      </c>
      <c r="L6" s="17" t="s">
        <v>960</v>
      </c>
      <c r="M6" s="11" t="s">
        <v>2299</v>
      </c>
      <c r="N6" s="11" t="s">
        <v>2300</v>
      </c>
      <c r="O6" s="11" t="s">
        <v>2301</v>
      </c>
      <c r="P6" s="11" t="s">
        <v>2302</v>
      </c>
      <c r="Q6" s="11" t="s">
        <v>2303</v>
      </c>
      <c r="R6" s="11" t="s">
        <v>2304</v>
      </c>
      <c r="S6" s="9" t="s">
        <v>1296</v>
      </c>
      <c r="T6" s="11" t="s">
        <v>2305</v>
      </c>
      <c r="U6" s="11"/>
      <c r="V6" s="9" t="s">
        <v>781</v>
      </c>
      <c r="W6" s="11" t="s">
        <v>2306</v>
      </c>
    </row>
    <row r="7" customFormat="false" ht="133.5" hidden="false" customHeight="true" outlineLevel="0" collapsed="false">
      <c r="A7" s="11" t="n">
        <v>3</v>
      </c>
      <c r="B7" s="8" t="s">
        <v>416</v>
      </c>
      <c r="C7" s="11" t="s">
        <v>417</v>
      </c>
      <c r="D7" s="17" t="s">
        <v>962</v>
      </c>
      <c r="E7" s="9" t="s">
        <v>1251</v>
      </c>
      <c r="F7" s="11" t="s">
        <v>183</v>
      </c>
      <c r="G7" s="11" t="s">
        <v>2307</v>
      </c>
      <c r="H7" s="11" t="s">
        <v>2308</v>
      </c>
      <c r="I7" s="11" t="s">
        <v>2309</v>
      </c>
      <c r="J7" s="11" t="s">
        <v>961</v>
      </c>
      <c r="K7" s="9" t="s">
        <v>181</v>
      </c>
      <c r="L7" s="17" t="s">
        <v>962</v>
      </c>
      <c r="M7" s="11" t="s">
        <v>2310</v>
      </c>
      <c r="N7" s="11" t="s">
        <v>2311</v>
      </c>
      <c r="O7" s="11" t="s">
        <v>2312</v>
      </c>
      <c r="P7" s="11" t="s">
        <v>2313</v>
      </c>
      <c r="Q7" s="11" t="s">
        <v>2314</v>
      </c>
      <c r="R7" s="11" t="s">
        <v>2315</v>
      </c>
      <c r="S7" s="9" t="s">
        <v>1296</v>
      </c>
      <c r="T7" s="11" t="s">
        <v>2316</v>
      </c>
      <c r="U7" s="11" t="s">
        <v>2317</v>
      </c>
      <c r="V7" s="9" t="s">
        <v>789</v>
      </c>
      <c r="W7" s="11" t="s">
        <v>2318</v>
      </c>
    </row>
    <row r="8" customFormat="false" ht="195" hidden="false" customHeight="true" outlineLevel="0" collapsed="false">
      <c r="A8" s="11" t="n">
        <v>4</v>
      </c>
      <c r="B8" s="8" t="s">
        <v>418</v>
      </c>
      <c r="C8" s="11" t="s">
        <v>269</v>
      </c>
      <c r="D8" s="17" t="s">
        <v>2319</v>
      </c>
      <c r="E8" s="9" t="s">
        <v>1251</v>
      </c>
      <c r="F8" s="11" t="s">
        <v>183</v>
      </c>
      <c r="G8" s="11" t="s">
        <v>2320</v>
      </c>
      <c r="H8" s="11" t="s">
        <v>2321</v>
      </c>
      <c r="I8" s="11" t="s">
        <v>2322</v>
      </c>
      <c r="J8" s="11" t="s">
        <v>963</v>
      </c>
      <c r="K8" s="9" t="s">
        <v>181</v>
      </c>
      <c r="L8" s="17" t="s">
        <v>964</v>
      </c>
      <c r="M8" s="11" t="s">
        <v>2323</v>
      </c>
      <c r="N8" s="11" t="s">
        <v>2324</v>
      </c>
      <c r="O8" s="11" t="s">
        <v>2325</v>
      </c>
      <c r="P8" s="11" t="s">
        <v>2326</v>
      </c>
      <c r="Q8" s="11" t="s">
        <v>2327</v>
      </c>
      <c r="R8" s="11" t="s">
        <v>2328</v>
      </c>
      <c r="S8" s="9" t="s">
        <v>1296</v>
      </c>
      <c r="T8" s="11" t="s">
        <v>2329</v>
      </c>
      <c r="U8" s="11"/>
      <c r="V8" s="9" t="s">
        <v>789</v>
      </c>
      <c r="W8" s="11" t="s">
        <v>2330</v>
      </c>
    </row>
    <row r="9" customFormat="false" ht="133.5" hidden="false" customHeight="true" outlineLevel="0" collapsed="false">
      <c r="A9" s="11" t="n">
        <v>5</v>
      </c>
      <c r="B9" s="8" t="s">
        <v>419</v>
      </c>
      <c r="C9" s="11" t="s">
        <v>420</v>
      </c>
      <c r="D9" s="17" t="s">
        <v>2331</v>
      </c>
      <c r="E9" s="9" t="s">
        <v>1251</v>
      </c>
      <c r="F9" s="11" t="s">
        <v>183</v>
      </c>
      <c r="G9" s="11" t="s">
        <v>2332</v>
      </c>
      <c r="H9" s="11" t="s">
        <v>2333</v>
      </c>
      <c r="I9" s="11" t="s">
        <v>2334</v>
      </c>
      <c r="J9" s="11" t="s">
        <v>965</v>
      </c>
      <c r="K9" s="9" t="s">
        <v>181</v>
      </c>
      <c r="L9" s="17" t="s">
        <v>966</v>
      </c>
      <c r="M9" s="11" t="s">
        <v>2335</v>
      </c>
      <c r="N9" s="11" t="s">
        <v>2336</v>
      </c>
      <c r="O9" s="11" t="s">
        <v>2337</v>
      </c>
      <c r="P9" s="11" t="s">
        <v>2338</v>
      </c>
      <c r="Q9" s="11" t="s">
        <v>2339</v>
      </c>
      <c r="R9" s="11" t="s">
        <v>2290</v>
      </c>
      <c r="S9" s="9" t="s">
        <v>233</v>
      </c>
      <c r="T9" s="11" t="s">
        <v>2340</v>
      </c>
      <c r="U9" s="11"/>
      <c r="V9" s="9" t="s">
        <v>797</v>
      </c>
      <c r="W9" s="11" t="s">
        <v>2341</v>
      </c>
    </row>
    <row r="10" customFormat="false" ht="121.5" hidden="false" customHeight="true" outlineLevel="0" collapsed="false">
      <c r="A10" s="11" t="n">
        <v>6</v>
      </c>
      <c r="B10" s="8" t="s">
        <v>421</v>
      </c>
      <c r="C10" s="11" t="s">
        <v>422</v>
      </c>
      <c r="D10" s="17" t="s">
        <v>968</v>
      </c>
      <c r="E10" s="9" t="s">
        <v>1251</v>
      </c>
      <c r="F10" s="11" t="s">
        <v>183</v>
      </c>
      <c r="G10" s="11" t="s">
        <v>2342</v>
      </c>
      <c r="H10" s="11" t="s">
        <v>2343</v>
      </c>
      <c r="I10" s="11" t="s">
        <v>2344</v>
      </c>
      <c r="J10" s="11" t="s">
        <v>967</v>
      </c>
      <c r="K10" s="9" t="s">
        <v>181</v>
      </c>
      <c r="L10" s="17" t="s">
        <v>968</v>
      </c>
      <c r="M10" s="11" t="s">
        <v>2345</v>
      </c>
      <c r="N10" s="11" t="s">
        <v>2346</v>
      </c>
      <c r="O10" s="11" t="s">
        <v>2347</v>
      </c>
      <c r="P10" s="11" t="s">
        <v>2348</v>
      </c>
      <c r="Q10" s="11" t="s">
        <v>2349</v>
      </c>
      <c r="R10" s="11" t="s">
        <v>2290</v>
      </c>
      <c r="S10" s="9" t="s">
        <v>233</v>
      </c>
      <c r="T10" s="11" t="s">
        <v>2350</v>
      </c>
      <c r="U10" s="11"/>
      <c r="V10" s="9" t="s">
        <v>797</v>
      </c>
      <c r="W10" s="11" t="s">
        <v>2351</v>
      </c>
    </row>
    <row r="11" customFormat="false" ht="207" hidden="false" customHeight="true" outlineLevel="0" collapsed="false">
      <c r="A11" s="11" t="n">
        <v>7</v>
      </c>
      <c r="B11" s="8" t="s">
        <v>423</v>
      </c>
      <c r="C11" s="11" t="s">
        <v>86</v>
      </c>
      <c r="D11" s="17" t="s">
        <v>1715</v>
      </c>
      <c r="E11" s="9" t="s">
        <v>1251</v>
      </c>
      <c r="F11" s="11" t="s">
        <v>183</v>
      </c>
      <c r="G11" s="11" t="s">
        <v>2352</v>
      </c>
      <c r="H11" s="11" t="s">
        <v>2353</v>
      </c>
      <c r="I11" s="11" t="s">
        <v>2354</v>
      </c>
      <c r="J11" s="11" t="s">
        <v>969</v>
      </c>
      <c r="K11" s="9" t="s">
        <v>181</v>
      </c>
      <c r="L11" s="17" t="s">
        <v>864</v>
      </c>
      <c r="M11" s="11" t="s">
        <v>2355</v>
      </c>
      <c r="N11" s="11" t="s">
        <v>2356</v>
      </c>
      <c r="O11" s="11" t="s">
        <v>2357</v>
      </c>
      <c r="P11" s="11" t="s">
        <v>2358</v>
      </c>
      <c r="Q11" s="11" t="s">
        <v>2359</v>
      </c>
      <c r="R11" s="11" t="s">
        <v>2290</v>
      </c>
      <c r="S11" s="9" t="s">
        <v>233</v>
      </c>
      <c r="T11" s="11" t="s">
        <v>2360</v>
      </c>
      <c r="U11" s="11" t="s">
        <v>2361</v>
      </c>
      <c r="V11" s="9" t="s">
        <v>789</v>
      </c>
      <c r="W11" s="11" t="s">
        <v>2362</v>
      </c>
    </row>
    <row r="12" customFormat="false" ht="109.5" hidden="false" customHeight="true" outlineLevel="0" collapsed="false">
      <c r="A12" s="11" t="n">
        <v>8</v>
      </c>
      <c r="B12" s="8" t="s">
        <v>424</v>
      </c>
      <c r="C12" s="11" t="s">
        <v>425</v>
      </c>
      <c r="D12" s="17" t="s">
        <v>971</v>
      </c>
      <c r="E12" s="9" t="s">
        <v>1251</v>
      </c>
      <c r="F12" s="11" t="s">
        <v>183</v>
      </c>
      <c r="G12" s="11" t="s">
        <v>2363</v>
      </c>
      <c r="H12" s="11" t="s">
        <v>2364</v>
      </c>
      <c r="I12" s="11" t="s">
        <v>2365</v>
      </c>
      <c r="J12" s="11" t="s">
        <v>970</v>
      </c>
      <c r="K12" s="9" t="s">
        <v>181</v>
      </c>
      <c r="L12" s="17" t="s">
        <v>971</v>
      </c>
      <c r="M12" s="11" t="s">
        <v>2366</v>
      </c>
      <c r="N12" s="11" t="s">
        <v>2367</v>
      </c>
      <c r="O12" s="11" t="s">
        <v>2368</v>
      </c>
      <c r="P12" s="11" t="s">
        <v>2369</v>
      </c>
      <c r="Q12" s="11" t="s">
        <v>2370</v>
      </c>
      <c r="R12" s="11" t="s">
        <v>2290</v>
      </c>
      <c r="S12" s="9" t="s">
        <v>233</v>
      </c>
      <c r="T12" s="11" t="s">
        <v>2371</v>
      </c>
      <c r="U12" s="11"/>
      <c r="V12" s="9" t="s">
        <v>797</v>
      </c>
      <c r="W12" s="11" t="s">
        <v>2372</v>
      </c>
    </row>
    <row r="13" customFormat="false" ht="97.5" hidden="false" customHeight="true" outlineLevel="0" collapsed="false">
      <c r="A13" s="11" t="n">
        <v>9</v>
      </c>
      <c r="B13" s="8" t="s">
        <v>277</v>
      </c>
      <c r="C13" s="11" t="s">
        <v>426</v>
      </c>
      <c r="D13" s="17" t="s">
        <v>973</v>
      </c>
      <c r="E13" s="9" t="s">
        <v>1251</v>
      </c>
      <c r="F13" s="11" t="s">
        <v>183</v>
      </c>
      <c r="G13" s="11" t="s">
        <v>2373</v>
      </c>
      <c r="H13" s="11" t="s">
        <v>2374</v>
      </c>
      <c r="I13" s="11" t="s">
        <v>2375</v>
      </c>
      <c r="J13" s="11" t="s">
        <v>972</v>
      </c>
      <c r="K13" s="9" t="s">
        <v>279</v>
      </c>
      <c r="L13" s="17" t="s">
        <v>973</v>
      </c>
      <c r="M13" s="11" t="s">
        <v>2376</v>
      </c>
      <c r="N13" s="11" t="s">
        <v>2377</v>
      </c>
      <c r="O13" s="11" t="s">
        <v>2378</v>
      </c>
      <c r="P13" s="11" t="s">
        <v>2379</v>
      </c>
      <c r="Q13" s="11" t="s">
        <v>2380</v>
      </c>
      <c r="R13" s="11" t="s">
        <v>2381</v>
      </c>
      <c r="S13" s="9" t="s">
        <v>1296</v>
      </c>
      <c r="T13" s="11" t="s">
        <v>2382</v>
      </c>
      <c r="U13" s="11"/>
      <c r="V13" s="9" t="s">
        <v>789</v>
      </c>
      <c r="W13" s="11" t="s">
        <v>2383</v>
      </c>
    </row>
    <row r="14" customFormat="false" ht="243.75" hidden="false" customHeight="true" outlineLevel="0" collapsed="false">
      <c r="A14" s="11" t="n">
        <v>10</v>
      </c>
      <c r="B14" s="8" t="s">
        <v>427</v>
      </c>
      <c r="C14" s="11" t="s">
        <v>202</v>
      </c>
      <c r="D14" s="17" t="s">
        <v>975</v>
      </c>
      <c r="E14" s="9" t="s">
        <v>1251</v>
      </c>
      <c r="F14" s="11" t="s">
        <v>428</v>
      </c>
      <c r="G14" s="11" t="s">
        <v>2384</v>
      </c>
      <c r="H14" s="11" t="s">
        <v>2385</v>
      </c>
      <c r="I14" s="11" t="s">
        <v>2386</v>
      </c>
      <c r="J14" s="11" t="s">
        <v>974</v>
      </c>
      <c r="K14" s="9" t="s">
        <v>233</v>
      </c>
      <c r="L14" s="17" t="s">
        <v>975</v>
      </c>
      <c r="M14" s="11" t="s">
        <v>2387</v>
      </c>
      <c r="N14" s="11" t="s">
        <v>2388</v>
      </c>
      <c r="O14" s="11" t="s">
        <v>2389</v>
      </c>
      <c r="P14" s="11" t="s">
        <v>2390</v>
      </c>
      <c r="Q14" s="11" t="s">
        <v>2391</v>
      </c>
      <c r="R14" s="11" t="s">
        <v>2392</v>
      </c>
      <c r="S14" s="9" t="s">
        <v>1261</v>
      </c>
      <c r="T14" s="11" t="s">
        <v>2393</v>
      </c>
      <c r="U14" s="11" t="s">
        <v>2394</v>
      </c>
      <c r="V14" s="9" t="s">
        <v>789</v>
      </c>
      <c r="W14" s="11" t="s">
        <v>2395</v>
      </c>
    </row>
    <row r="15" customFormat="false" ht="158.25" hidden="false" customHeight="true" outlineLevel="0" collapsed="false">
      <c r="A15" s="11" t="n">
        <v>11</v>
      </c>
      <c r="B15" s="8" t="s">
        <v>429</v>
      </c>
      <c r="C15" s="11" t="s">
        <v>430</v>
      </c>
      <c r="D15" s="17" t="s">
        <v>2396</v>
      </c>
      <c r="E15" s="9" t="s">
        <v>1251</v>
      </c>
      <c r="F15" s="11" t="s">
        <v>183</v>
      </c>
      <c r="G15" s="11" t="s">
        <v>2397</v>
      </c>
      <c r="H15" s="11" t="s">
        <v>2398</v>
      </c>
      <c r="I15" s="11" t="s">
        <v>2399</v>
      </c>
      <c r="J15" s="11" t="s">
        <v>976</v>
      </c>
      <c r="K15" s="9" t="s">
        <v>181</v>
      </c>
      <c r="L15" s="17" t="s">
        <v>977</v>
      </c>
      <c r="M15" s="11" t="s">
        <v>2400</v>
      </c>
      <c r="N15" s="11" t="s">
        <v>2401</v>
      </c>
      <c r="O15" s="11" t="s">
        <v>2402</v>
      </c>
      <c r="P15" s="11" t="s">
        <v>2403</v>
      </c>
      <c r="Q15" s="11" t="s">
        <v>2404</v>
      </c>
      <c r="R15" s="11" t="s">
        <v>1273</v>
      </c>
      <c r="S15" s="9" t="s">
        <v>233</v>
      </c>
      <c r="T15" s="11" t="s">
        <v>2405</v>
      </c>
      <c r="U15" s="11"/>
      <c r="V15" s="9" t="s">
        <v>786</v>
      </c>
      <c r="W15" s="11" t="s">
        <v>2406</v>
      </c>
    </row>
    <row r="16" customFormat="false" ht="84.75" hidden="false" customHeight="true" outlineLevel="0" collapsed="false">
      <c r="A16" s="11" t="n">
        <v>12</v>
      </c>
      <c r="B16" s="8" t="s">
        <v>431</v>
      </c>
      <c r="C16" s="11" t="s">
        <v>432</v>
      </c>
      <c r="D16" s="17" t="s">
        <v>979</v>
      </c>
      <c r="E16" s="9" t="s">
        <v>1251</v>
      </c>
      <c r="F16" s="11" t="s">
        <v>183</v>
      </c>
      <c r="G16" s="11" t="s">
        <v>2407</v>
      </c>
      <c r="H16" s="11" t="s">
        <v>2408</v>
      </c>
      <c r="I16" s="11" t="s">
        <v>2409</v>
      </c>
      <c r="J16" s="11" t="s">
        <v>978</v>
      </c>
      <c r="K16" s="9" t="s">
        <v>181</v>
      </c>
      <c r="L16" s="17" t="s">
        <v>979</v>
      </c>
      <c r="M16" s="11" t="s">
        <v>2410</v>
      </c>
      <c r="N16" s="11" t="s">
        <v>2411</v>
      </c>
      <c r="O16" s="11" t="s">
        <v>2412</v>
      </c>
      <c r="P16" s="11" t="s">
        <v>2413</v>
      </c>
      <c r="Q16" s="11" t="s">
        <v>2339</v>
      </c>
      <c r="R16" s="11" t="s">
        <v>2290</v>
      </c>
      <c r="S16" s="9" t="s">
        <v>233</v>
      </c>
      <c r="T16" s="11" t="s">
        <v>2414</v>
      </c>
      <c r="U16" s="11"/>
      <c r="V16" s="9" t="s">
        <v>797</v>
      </c>
      <c r="W16" s="11" t="s">
        <v>2415</v>
      </c>
    </row>
    <row r="17" customFormat="false" ht="280.5" hidden="false" customHeight="true" outlineLevel="0" collapsed="false">
      <c r="A17" s="11" t="n">
        <v>13</v>
      </c>
      <c r="B17" s="8" t="s">
        <v>433</v>
      </c>
      <c r="C17" s="11" t="s">
        <v>286</v>
      </c>
      <c r="D17" s="17" t="s">
        <v>1764</v>
      </c>
      <c r="E17" s="9" t="s">
        <v>1251</v>
      </c>
      <c r="F17" s="11" t="s">
        <v>183</v>
      </c>
      <c r="G17" s="11" t="s">
        <v>2416</v>
      </c>
      <c r="H17" s="11" t="s">
        <v>2417</v>
      </c>
      <c r="I17" s="11" t="s">
        <v>2418</v>
      </c>
      <c r="J17" s="11" t="s">
        <v>980</v>
      </c>
      <c r="K17" s="9" t="s">
        <v>181</v>
      </c>
      <c r="L17" s="17" t="s">
        <v>981</v>
      </c>
      <c r="M17" s="11" t="s">
        <v>2419</v>
      </c>
      <c r="N17" s="11" t="s">
        <v>2420</v>
      </c>
      <c r="O17" s="11" t="s">
        <v>2421</v>
      </c>
      <c r="P17" s="11" t="s">
        <v>2422</v>
      </c>
      <c r="Q17" s="11" t="s">
        <v>2423</v>
      </c>
      <c r="R17" s="11" t="s">
        <v>2424</v>
      </c>
      <c r="S17" s="9" t="s">
        <v>1296</v>
      </c>
      <c r="T17" s="11" t="s">
        <v>2425</v>
      </c>
      <c r="U17" s="11" t="s">
        <v>2426</v>
      </c>
      <c r="V17" s="9" t="s">
        <v>789</v>
      </c>
      <c r="W17" s="11" t="s">
        <v>2427</v>
      </c>
    </row>
    <row r="18" customFormat="false" ht="97.5" hidden="false" customHeight="true" outlineLevel="0" collapsed="false">
      <c r="A18" s="11" t="n">
        <v>14</v>
      </c>
      <c r="B18" s="8" t="s">
        <v>434</v>
      </c>
      <c r="C18" s="11" t="s">
        <v>377</v>
      </c>
      <c r="D18" s="17" t="s">
        <v>935</v>
      </c>
      <c r="E18" s="9" t="s">
        <v>1251</v>
      </c>
      <c r="F18" s="11" t="s">
        <v>183</v>
      </c>
      <c r="G18" s="11" t="s">
        <v>1421</v>
      </c>
      <c r="H18" s="11" t="s">
        <v>2428</v>
      </c>
      <c r="I18" s="11" t="s">
        <v>2429</v>
      </c>
      <c r="J18" s="11" t="s">
        <v>982</v>
      </c>
      <c r="K18" s="9" t="s">
        <v>181</v>
      </c>
      <c r="L18" s="17" t="s">
        <v>935</v>
      </c>
      <c r="M18" s="11" t="s">
        <v>2430</v>
      </c>
      <c r="N18" s="11" t="s">
        <v>2431</v>
      </c>
      <c r="O18" s="11" t="s">
        <v>2432</v>
      </c>
      <c r="P18" s="11" t="s">
        <v>2433</v>
      </c>
      <c r="Q18" s="11" t="s">
        <v>2339</v>
      </c>
      <c r="R18" s="11" t="s">
        <v>2290</v>
      </c>
      <c r="S18" s="9" t="s">
        <v>233</v>
      </c>
      <c r="T18" s="11" t="s">
        <v>2434</v>
      </c>
      <c r="U18" s="11" t="s">
        <v>2435</v>
      </c>
      <c r="V18" s="9" t="s">
        <v>781</v>
      </c>
      <c r="W18" s="11" t="s">
        <v>935</v>
      </c>
    </row>
    <row r="19" customFormat="false" ht="146.25" hidden="false" customHeight="true" outlineLevel="0" collapsed="false">
      <c r="A19" s="11" t="n">
        <v>15</v>
      </c>
      <c r="B19" s="8" t="s">
        <v>435</v>
      </c>
      <c r="C19" s="11" t="s">
        <v>291</v>
      </c>
      <c r="D19" s="17" t="s">
        <v>1787</v>
      </c>
      <c r="E19" s="9" t="s">
        <v>1251</v>
      </c>
      <c r="F19" s="11" t="s">
        <v>183</v>
      </c>
      <c r="G19" s="11" t="s">
        <v>2436</v>
      </c>
      <c r="H19" s="11" t="s">
        <v>2437</v>
      </c>
      <c r="I19" s="11" t="s">
        <v>2438</v>
      </c>
      <c r="J19" s="11" t="s">
        <v>983</v>
      </c>
      <c r="K19" s="9" t="s">
        <v>436</v>
      </c>
      <c r="L19" s="17" t="s">
        <v>984</v>
      </c>
      <c r="M19" s="11" t="s">
        <v>2439</v>
      </c>
      <c r="N19" s="11" t="s">
        <v>2440</v>
      </c>
      <c r="O19" s="11" t="s">
        <v>2357</v>
      </c>
      <c r="P19" s="11" t="s">
        <v>2441</v>
      </c>
      <c r="Q19" s="11" t="s">
        <v>2339</v>
      </c>
      <c r="R19" s="11" t="s">
        <v>2290</v>
      </c>
      <c r="S19" s="9" t="s">
        <v>233</v>
      </c>
      <c r="T19" s="11" t="s">
        <v>2442</v>
      </c>
      <c r="U19" s="11" t="s">
        <v>2443</v>
      </c>
      <c r="V19" s="9" t="s">
        <v>794</v>
      </c>
      <c r="W19" s="11" t="s">
        <v>2444</v>
      </c>
    </row>
    <row r="20" customFormat="false" ht="97.5" hidden="false" customHeight="true" outlineLevel="0" collapsed="false">
      <c r="A20" s="11" t="n">
        <v>16</v>
      </c>
      <c r="B20" s="8" t="s">
        <v>437</v>
      </c>
      <c r="C20" s="11" t="s">
        <v>438</v>
      </c>
      <c r="D20" s="17" t="s">
        <v>2445</v>
      </c>
      <c r="E20" s="9" t="s">
        <v>1251</v>
      </c>
      <c r="F20" s="11" t="s">
        <v>183</v>
      </c>
      <c r="G20" s="11" t="s">
        <v>2446</v>
      </c>
      <c r="H20" s="11" t="s">
        <v>2447</v>
      </c>
      <c r="I20" s="11" t="s">
        <v>2448</v>
      </c>
      <c r="J20" s="11" t="s">
        <v>985</v>
      </c>
      <c r="K20" s="9" t="s">
        <v>181</v>
      </c>
      <c r="L20" s="17" t="s">
        <v>986</v>
      </c>
      <c r="M20" s="11" t="s">
        <v>2449</v>
      </c>
      <c r="N20" s="11" t="s">
        <v>2450</v>
      </c>
      <c r="O20" s="11" t="s">
        <v>2368</v>
      </c>
      <c r="P20" s="11" t="s">
        <v>2451</v>
      </c>
      <c r="Q20" s="11" t="s">
        <v>2339</v>
      </c>
      <c r="R20" s="11" t="s">
        <v>2290</v>
      </c>
      <c r="S20" s="9" t="s">
        <v>233</v>
      </c>
      <c r="T20" s="11" t="s">
        <v>2452</v>
      </c>
      <c r="U20" s="11"/>
      <c r="V20" s="9" t="s">
        <v>789</v>
      </c>
      <c r="W20" s="11" t="s">
        <v>2453</v>
      </c>
    </row>
    <row r="21" customFormat="false" ht="109.5" hidden="false" customHeight="true" outlineLevel="0" collapsed="false">
      <c r="A21" s="11" t="n">
        <v>17</v>
      </c>
      <c r="B21" s="8" t="s">
        <v>439</v>
      </c>
      <c r="C21" s="11" t="s">
        <v>440</v>
      </c>
      <c r="D21" s="17" t="s">
        <v>988</v>
      </c>
      <c r="E21" s="9" t="s">
        <v>1251</v>
      </c>
      <c r="F21" s="11" t="s">
        <v>183</v>
      </c>
      <c r="G21" s="11" t="s">
        <v>2454</v>
      </c>
      <c r="H21" s="11" t="s">
        <v>2455</v>
      </c>
      <c r="I21" s="11" t="s">
        <v>2456</v>
      </c>
      <c r="J21" s="11" t="s">
        <v>987</v>
      </c>
      <c r="K21" s="9" t="s">
        <v>181</v>
      </c>
      <c r="L21" s="17" t="s">
        <v>988</v>
      </c>
      <c r="M21" s="11" t="s">
        <v>2457</v>
      </c>
      <c r="N21" s="11" t="s">
        <v>2458</v>
      </c>
      <c r="O21" s="11" t="s">
        <v>2459</v>
      </c>
      <c r="P21" s="11" t="s">
        <v>2460</v>
      </c>
      <c r="Q21" s="11" t="s">
        <v>2461</v>
      </c>
      <c r="R21" s="11" t="s">
        <v>2290</v>
      </c>
      <c r="S21" s="9" t="s">
        <v>233</v>
      </c>
      <c r="T21" s="11" t="s">
        <v>2462</v>
      </c>
      <c r="U21" s="11"/>
      <c r="V21" s="9" t="s">
        <v>789</v>
      </c>
      <c r="W21" s="11" t="s">
        <v>2463</v>
      </c>
    </row>
    <row r="22" customFormat="false" ht="133.5" hidden="false" customHeight="true" outlineLevel="0" collapsed="false">
      <c r="A22" s="11" t="n">
        <v>18</v>
      </c>
      <c r="B22" s="8" t="s">
        <v>441</v>
      </c>
      <c r="C22" s="11" t="s">
        <v>441</v>
      </c>
      <c r="D22" s="17" t="s">
        <v>990</v>
      </c>
      <c r="E22" s="9" t="s">
        <v>1276</v>
      </c>
      <c r="F22" s="11" t="s">
        <v>183</v>
      </c>
      <c r="G22" s="11" t="s">
        <v>2464</v>
      </c>
      <c r="H22" s="11" t="s">
        <v>2465</v>
      </c>
      <c r="I22" s="11" t="s">
        <v>2466</v>
      </c>
      <c r="J22" s="11" t="s">
        <v>989</v>
      </c>
      <c r="K22" s="9" t="s">
        <v>181</v>
      </c>
      <c r="L22" s="17" t="s">
        <v>990</v>
      </c>
      <c r="M22" s="11" t="s">
        <v>2467</v>
      </c>
      <c r="N22" s="11" t="s">
        <v>2468</v>
      </c>
      <c r="O22" s="11" t="s">
        <v>2469</v>
      </c>
      <c r="P22" s="11" t="s">
        <v>2470</v>
      </c>
      <c r="Q22" s="11" t="s">
        <v>2339</v>
      </c>
      <c r="R22" s="11" t="s">
        <v>2290</v>
      </c>
      <c r="S22" s="9" t="s">
        <v>233</v>
      </c>
      <c r="T22" s="11" t="s">
        <v>2471</v>
      </c>
      <c r="U22" s="11" t="s">
        <v>2472</v>
      </c>
      <c r="V22" s="9" t="s">
        <v>781</v>
      </c>
      <c r="W22" s="11" t="s">
        <v>2473</v>
      </c>
    </row>
    <row r="23" customFormat="false" ht="84.75" hidden="false" customHeight="true" outlineLevel="0" collapsed="false">
      <c r="A23" s="11" t="n">
        <v>19</v>
      </c>
      <c r="B23" s="8" t="s">
        <v>442</v>
      </c>
      <c r="C23" s="11" t="s">
        <v>443</v>
      </c>
      <c r="D23" s="17" t="s">
        <v>992</v>
      </c>
      <c r="E23" s="9" t="s">
        <v>1276</v>
      </c>
      <c r="F23" s="11" t="s">
        <v>183</v>
      </c>
      <c r="G23" s="11" t="s">
        <v>2474</v>
      </c>
      <c r="H23" s="11" t="s">
        <v>2475</v>
      </c>
      <c r="I23" s="11" t="s">
        <v>2476</v>
      </c>
      <c r="J23" s="11" t="s">
        <v>991</v>
      </c>
      <c r="K23" s="9" t="s">
        <v>181</v>
      </c>
      <c r="L23" s="17" t="s">
        <v>992</v>
      </c>
      <c r="M23" s="11" t="s">
        <v>2477</v>
      </c>
      <c r="N23" s="11" t="s">
        <v>2478</v>
      </c>
      <c r="O23" s="11" t="s">
        <v>2337</v>
      </c>
      <c r="P23" s="11" t="s">
        <v>2479</v>
      </c>
      <c r="Q23" s="11" t="s">
        <v>2339</v>
      </c>
      <c r="R23" s="11" t="s">
        <v>2290</v>
      </c>
      <c r="S23" s="9" t="s">
        <v>233</v>
      </c>
      <c r="T23" s="11" t="s">
        <v>2480</v>
      </c>
      <c r="U23" s="11"/>
      <c r="V23" s="9" t="s">
        <v>786</v>
      </c>
      <c r="W23" s="11" t="s">
        <v>2481</v>
      </c>
    </row>
    <row r="24" customFormat="false" ht="183" hidden="false" customHeight="true" outlineLevel="0" collapsed="false">
      <c r="A24" s="11" t="n">
        <v>20</v>
      </c>
      <c r="B24" s="8" t="s">
        <v>444</v>
      </c>
      <c r="C24" s="11" t="s">
        <v>445</v>
      </c>
      <c r="D24" s="17" t="s">
        <v>2482</v>
      </c>
      <c r="E24" s="9" t="s">
        <v>1251</v>
      </c>
      <c r="F24" s="11" t="s">
        <v>446</v>
      </c>
      <c r="G24" s="11" t="s">
        <v>2483</v>
      </c>
      <c r="H24" s="11" t="s">
        <v>2484</v>
      </c>
      <c r="I24" s="11" t="s">
        <v>2485</v>
      </c>
      <c r="J24" s="11" t="s">
        <v>993</v>
      </c>
      <c r="K24" s="9" t="s">
        <v>233</v>
      </c>
      <c r="L24" s="17" t="s">
        <v>994</v>
      </c>
      <c r="M24" s="11" t="s">
        <v>2486</v>
      </c>
      <c r="N24" s="11" t="s">
        <v>2487</v>
      </c>
      <c r="O24" s="11" t="s">
        <v>2488</v>
      </c>
      <c r="P24" s="11" t="s">
        <v>2489</v>
      </c>
      <c r="Q24" s="11" t="s">
        <v>2490</v>
      </c>
      <c r="R24" s="11" t="s">
        <v>2491</v>
      </c>
      <c r="S24" s="9" t="s">
        <v>1296</v>
      </c>
      <c r="T24" s="11" t="s">
        <v>2492</v>
      </c>
      <c r="U24" s="11"/>
      <c r="V24" s="9" t="s">
        <v>786</v>
      </c>
      <c r="W24" s="11" t="s">
        <v>2493</v>
      </c>
    </row>
    <row r="25" customFormat="false" ht="84.75" hidden="false" customHeight="true" outlineLevel="0" collapsed="false">
      <c r="A25" s="11" t="n">
        <v>21</v>
      </c>
      <c r="B25" s="8" t="s">
        <v>447</v>
      </c>
      <c r="C25" s="11" t="s">
        <v>448</v>
      </c>
      <c r="D25" s="17" t="s">
        <v>2494</v>
      </c>
      <c r="E25" s="9" t="s">
        <v>1251</v>
      </c>
      <c r="F25" s="11" t="s">
        <v>449</v>
      </c>
      <c r="G25" s="11" t="s">
        <v>2495</v>
      </c>
      <c r="H25" s="11" t="s">
        <v>2496</v>
      </c>
      <c r="I25" s="11" t="s">
        <v>2497</v>
      </c>
      <c r="J25" s="11" t="s">
        <v>995</v>
      </c>
      <c r="K25" s="9" t="s">
        <v>181</v>
      </c>
      <c r="L25" s="17" t="s">
        <v>996</v>
      </c>
      <c r="M25" s="11" t="s">
        <v>2498</v>
      </c>
      <c r="N25" s="11" t="s">
        <v>2499</v>
      </c>
      <c r="O25" s="11" t="s">
        <v>2337</v>
      </c>
      <c r="P25" s="11" t="s">
        <v>2500</v>
      </c>
      <c r="Q25" s="11" t="s">
        <v>2501</v>
      </c>
      <c r="R25" s="11" t="s">
        <v>2290</v>
      </c>
      <c r="S25" s="9" t="s">
        <v>233</v>
      </c>
      <c r="T25" s="11" t="s">
        <v>2502</v>
      </c>
      <c r="U25" s="11"/>
      <c r="V25" s="9" t="s">
        <v>797</v>
      </c>
      <c r="W25" s="11" t="s">
        <v>2503</v>
      </c>
    </row>
    <row r="26" customFormat="false" ht="72.75" hidden="false" customHeight="true" outlineLevel="0" collapsed="false">
      <c r="A26" s="11" t="n">
        <v>22</v>
      </c>
      <c r="B26" s="8" t="s">
        <v>450</v>
      </c>
      <c r="C26" s="11" t="s">
        <v>451</v>
      </c>
      <c r="D26" s="17" t="s">
        <v>2504</v>
      </c>
      <c r="E26" s="9" t="s">
        <v>1251</v>
      </c>
      <c r="F26" s="11" t="s">
        <v>183</v>
      </c>
      <c r="G26" s="11" t="s">
        <v>2505</v>
      </c>
      <c r="H26" s="11" t="s">
        <v>2506</v>
      </c>
      <c r="I26" s="11" t="s">
        <v>2507</v>
      </c>
      <c r="J26" s="11" t="s">
        <v>997</v>
      </c>
      <c r="K26" s="9" t="s">
        <v>181</v>
      </c>
      <c r="L26" s="17" t="s">
        <v>998</v>
      </c>
      <c r="M26" s="11" t="s">
        <v>2508</v>
      </c>
      <c r="N26" s="11" t="s">
        <v>2509</v>
      </c>
      <c r="O26" s="11" t="s">
        <v>2337</v>
      </c>
      <c r="P26" s="11" t="s">
        <v>2510</v>
      </c>
      <c r="Q26" s="11" t="s">
        <v>2511</v>
      </c>
      <c r="R26" s="11" t="s">
        <v>2290</v>
      </c>
      <c r="S26" s="9" t="s">
        <v>233</v>
      </c>
      <c r="T26" s="11" t="s">
        <v>2512</v>
      </c>
      <c r="U26" s="11"/>
      <c r="V26" s="9" t="s">
        <v>786</v>
      </c>
      <c r="W26" s="11" t="s">
        <v>2513</v>
      </c>
    </row>
    <row r="27" customFormat="false" ht="72.75" hidden="false" customHeight="true" outlineLevel="0" collapsed="false">
      <c r="A27" s="11" t="n">
        <v>23</v>
      </c>
      <c r="B27" s="8" t="s">
        <v>452</v>
      </c>
      <c r="C27" s="11" t="s">
        <v>453</v>
      </c>
      <c r="D27" s="17" t="s">
        <v>1000</v>
      </c>
      <c r="E27" s="9" t="s">
        <v>1276</v>
      </c>
      <c r="F27" s="11" t="s">
        <v>183</v>
      </c>
      <c r="G27" s="11" t="s">
        <v>1421</v>
      </c>
      <c r="H27" s="11" t="s">
        <v>2514</v>
      </c>
      <c r="I27" s="11" t="s">
        <v>2515</v>
      </c>
      <c r="J27" s="11" t="s">
        <v>999</v>
      </c>
      <c r="K27" s="9" t="s">
        <v>279</v>
      </c>
      <c r="L27" s="17" t="s">
        <v>1000</v>
      </c>
      <c r="M27" s="11" t="s">
        <v>2516</v>
      </c>
      <c r="N27" s="11" t="s">
        <v>1636</v>
      </c>
      <c r="O27" s="11" t="s">
        <v>1637</v>
      </c>
      <c r="P27" s="11" t="s">
        <v>2517</v>
      </c>
      <c r="Q27" s="11" t="s">
        <v>2518</v>
      </c>
      <c r="R27" s="11" t="s">
        <v>2290</v>
      </c>
      <c r="S27" s="9" t="s">
        <v>233</v>
      </c>
      <c r="T27" s="11" t="s">
        <v>2519</v>
      </c>
      <c r="U27" s="11"/>
      <c r="V27" s="9" t="s">
        <v>781</v>
      </c>
      <c r="W27" s="11" t="s">
        <v>2520</v>
      </c>
    </row>
    <row r="28" customFormat="false" ht="84.75" hidden="false" customHeight="true" outlineLevel="0" collapsed="false">
      <c r="A28" s="11" t="n">
        <v>24</v>
      </c>
      <c r="B28" s="8" t="s">
        <v>454</v>
      </c>
      <c r="C28" s="11" t="s">
        <v>455</v>
      </c>
      <c r="D28" s="17" t="s">
        <v>1002</v>
      </c>
      <c r="E28" s="9" t="s">
        <v>1251</v>
      </c>
      <c r="F28" s="11" t="s">
        <v>456</v>
      </c>
      <c r="G28" s="11" t="s">
        <v>2521</v>
      </c>
      <c r="H28" s="11" t="s">
        <v>2522</v>
      </c>
      <c r="I28" s="11" t="s">
        <v>2523</v>
      </c>
      <c r="J28" s="11" t="s">
        <v>1001</v>
      </c>
      <c r="K28" s="9" t="s">
        <v>279</v>
      </c>
      <c r="L28" s="17" t="s">
        <v>1002</v>
      </c>
      <c r="M28" s="11" t="s">
        <v>2524</v>
      </c>
      <c r="N28" s="11" t="s">
        <v>1273</v>
      </c>
      <c r="O28" s="11" t="s">
        <v>1637</v>
      </c>
      <c r="P28" s="11" t="s">
        <v>2525</v>
      </c>
      <c r="Q28" s="11" t="s">
        <v>2526</v>
      </c>
      <c r="R28" s="11" t="s">
        <v>2290</v>
      </c>
      <c r="S28" s="9" t="s">
        <v>233</v>
      </c>
      <c r="T28" s="11" t="s">
        <v>2527</v>
      </c>
      <c r="U28" s="11"/>
      <c r="V28" s="9" t="s">
        <v>786</v>
      </c>
      <c r="W28" s="11" t="s">
        <v>2528</v>
      </c>
    </row>
    <row r="29" customFormat="false" ht="231.75" hidden="false" customHeight="true" outlineLevel="0" collapsed="false">
      <c r="A29" s="11" t="n">
        <v>25</v>
      </c>
      <c r="B29" s="8" t="s">
        <v>457</v>
      </c>
      <c r="C29" s="11" t="s">
        <v>225</v>
      </c>
      <c r="D29" s="17" t="s">
        <v>1004</v>
      </c>
      <c r="E29" s="9" t="s">
        <v>1251</v>
      </c>
      <c r="F29" s="11" t="s">
        <v>458</v>
      </c>
      <c r="G29" s="11" t="s">
        <v>2529</v>
      </c>
      <c r="H29" s="11" t="s">
        <v>2530</v>
      </c>
      <c r="I29" s="11" t="s">
        <v>2531</v>
      </c>
      <c r="J29" s="11" t="s">
        <v>1003</v>
      </c>
      <c r="K29" s="9" t="s">
        <v>181</v>
      </c>
      <c r="L29" s="17" t="s">
        <v>1004</v>
      </c>
      <c r="M29" s="11" t="s">
        <v>2532</v>
      </c>
      <c r="N29" s="11" t="s">
        <v>2533</v>
      </c>
      <c r="O29" s="11" t="s">
        <v>2534</v>
      </c>
      <c r="P29" s="11" t="s">
        <v>2535</v>
      </c>
      <c r="Q29" s="11" t="s">
        <v>2536</v>
      </c>
      <c r="R29" s="11" t="s">
        <v>2537</v>
      </c>
      <c r="S29" s="9" t="s">
        <v>1310</v>
      </c>
      <c r="T29" s="11" t="s">
        <v>2538</v>
      </c>
      <c r="U29" s="11" t="s">
        <v>2539</v>
      </c>
      <c r="V29" s="9" t="s">
        <v>789</v>
      </c>
      <c r="W29" s="11" t="s">
        <v>2540</v>
      </c>
    </row>
    <row r="30" customFormat="false" ht="207" hidden="false" customHeight="true" outlineLevel="0" collapsed="false">
      <c r="A30" s="11" t="n">
        <v>26</v>
      </c>
      <c r="B30" s="8" t="s">
        <v>459</v>
      </c>
      <c r="C30" s="11" t="s">
        <v>311</v>
      </c>
      <c r="D30" s="17" t="s">
        <v>1006</v>
      </c>
      <c r="E30" s="9" t="s">
        <v>1251</v>
      </c>
      <c r="F30" s="11" t="s">
        <v>183</v>
      </c>
      <c r="G30" s="11" t="s">
        <v>2541</v>
      </c>
      <c r="H30" s="11" t="s">
        <v>2542</v>
      </c>
      <c r="I30" s="11" t="s">
        <v>2543</v>
      </c>
      <c r="J30" s="11" t="s">
        <v>1005</v>
      </c>
      <c r="K30" s="9" t="s">
        <v>181</v>
      </c>
      <c r="L30" s="17" t="s">
        <v>1006</v>
      </c>
      <c r="M30" s="11" t="s">
        <v>2544</v>
      </c>
      <c r="N30" s="11" t="s">
        <v>2545</v>
      </c>
      <c r="O30" s="11" t="s">
        <v>2546</v>
      </c>
      <c r="P30" s="11" t="s">
        <v>2547</v>
      </c>
      <c r="Q30" s="11" t="s">
        <v>2548</v>
      </c>
      <c r="R30" s="11" t="s">
        <v>2290</v>
      </c>
      <c r="S30" s="9" t="s">
        <v>233</v>
      </c>
      <c r="T30" s="11" t="s">
        <v>2549</v>
      </c>
      <c r="U30" s="11" t="s">
        <v>2550</v>
      </c>
      <c r="V30" s="9" t="s">
        <v>789</v>
      </c>
      <c r="W30" s="11" t="s">
        <v>2551</v>
      </c>
    </row>
    <row r="31" customFormat="false" ht="207" hidden="false" customHeight="true" outlineLevel="0" collapsed="false">
      <c r="A31" s="11" t="n">
        <v>27</v>
      </c>
      <c r="B31" s="8" t="s">
        <v>460</v>
      </c>
      <c r="C31" s="11" t="s">
        <v>314</v>
      </c>
      <c r="D31" s="17" t="s">
        <v>2552</v>
      </c>
      <c r="E31" s="9" t="s">
        <v>1251</v>
      </c>
      <c r="F31" s="11" t="s">
        <v>183</v>
      </c>
      <c r="G31" s="11" t="s">
        <v>2553</v>
      </c>
      <c r="H31" s="11" t="s">
        <v>2554</v>
      </c>
      <c r="I31" s="11" t="s">
        <v>2555</v>
      </c>
      <c r="J31" s="11" t="s">
        <v>1007</v>
      </c>
      <c r="K31" s="9" t="s">
        <v>181</v>
      </c>
      <c r="L31" s="17" t="s">
        <v>1008</v>
      </c>
      <c r="M31" s="11" t="s">
        <v>2556</v>
      </c>
      <c r="N31" s="11" t="s">
        <v>2557</v>
      </c>
      <c r="O31" s="11" t="s">
        <v>2558</v>
      </c>
      <c r="P31" s="11" t="s">
        <v>2559</v>
      </c>
      <c r="Q31" s="11" t="s">
        <v>2560</v>
      </c>
      <c r="R31" s="11" t="s">
        <v>1273</v>
      </c>
      <c r="S31" s="9" t="s">
        <v>233</v>
      </c>
      <c r="T31" s="11" t="s">
        <v>2561</v>
      </c>
      <c r="U31" s="11" t="s">
        <v>2562</v>
      </c>
      <c r="V31" s="9" t="s">
        <v>789</v>
      </c>
      <c r="W31" s="11" t="s">
        <v>2563</v>
      </c>
    </row>
    <row r="32" customFormat="false" ht="72.75" hidden="false" customHeight="true" outlineLevel="0" collapsed="false">
      <c r="A32" s="11" t="n">
        <v>28</v>
      </c>
      <c r="B32" s="8" t="s">
        <v>461</v>
      </c>
      <c r="C32" s="11" t="s">
        <v>228</v>
      </c>
      <c r="D32" s="17" t="s">
        <v>1010</v>
      </c>
      <c r="E32" s="9" t="s">
        <v>1276</v>
      </c>
      <c r="F32" s="11" t="s">
        <v>183</v>
      </c>
      <c r="G32" s="11" t="s">
        <v>2564</v>
      </c>
      <c r="H32" s="11" t="s">
        <v>2565</v>
      </c>
      <c r="I32" s="11" t="s">
        <v>2566</v>
      </c>
      <c r="J32" s="11" t="s">
        <v>1009</v>
      </c>
      <c r="K32" s="9" t="s">
        <v>181</v>
      </c>
      <c r="L32" s="17" t="s">
        <v>1010</v>
      </c>
      <c r="M32" s="11" t="s">
        <v>2567</v>
      </c>
      <c r="N32" s="11" t="s">
        <v>1636</v>
      </c>
      <c r="O32" s="11" t="s">
        <v>1637</v>
      </c>
      <c r="P32" s="11" t="s">
        <v>2568</v>
      </c>
      <c r="Q32" s="11" t="s">
        <v>2339</v>
      </c>
      <c r="R32" s="11" t="s">
        <v>2290</v>
      </c>
      <c r="S32" s="9" t="s">
        <v>233</v>
      </c>
      <c r="T32" s="11" t="s">
        <v>2569</v>
      </c>
      <c r="U32" s="11"/>
      <c r="V32" s="9" t="s">
        <v>786</v>
      </c>
      <c r="W32" s="11" t="s">
        <v>2570</v>
      </c>
    </row>
    <row r="33" customFormat="false" ht="121.5" hidden="false" customHeight="true" outlineLevel="0" collapsed="false">
      <c r="A33" s="11" t="n">
        <v>29</v>
      </c>
      <c r="B33" s="8" t="s">
        <v>462</v>
      </c>
      <c r="C33" s="11" t="s">
        <v>463</v>
      </c>
      <c r="D33" s="17" t="s">
        <v>1012</v>
      </c>
      <c r="E33" s="9" t="s">
        <v>1276</v>
      </c>
      <c r="F33" s="11" t="s">
        <v>323</v>
      </c>
      <c r="G33" s="11" t="s">
        <v>2571</v>
      </c>
      <c r="H33" s="11" t="s">
        <v>2572</v>
      </c>
      <c r="I33" s="11" t="s">
        <v>2573</v>
      </c>
      <c r="J33" s="11" t="s">
        <v>1011</v>
      </c>
      <c r="K33" s="9" t="s">
        <v>464</v>
      </c>
      <c r="L33" s="17" t="s">
        <v>1012</v>
      </c>
      <c r="M33" s="11" t="s">
        <v>2574</v>
      </c>
      <c r="N33" s="11" t="s">
        <v>1636</v>
      </c>
      <c r="O33" s="11" t="s">
        <v>1637</v>
      </c>
      <c r="P33" s="11" t="s">
        <v>2575</v>
      </c>
      <c r="Q33" s="11" t="s">
        <v>1523</v>
      </c>
      <c r="R33" s="11" t="s">
        <v>1524</v>
      </c>
      <c r="S33" s="9" t="s">
        <v>1261</v>
      </c>
      <c r="T33" s="11" t="s">
        <v>2576</v>
      </c>
      <c r="U33" s="11" t="s">
        <v>2577</v>
      </c>
      <c r="V33" s="9" t="s">
        <v>794</v>
      </c>
      <c r="W33" s="11" t="s">
        <v>2578</v>
      </c>
    </row>
    <row r="34" customFormat="false" ht="60.75" hidden="false" customHeight="true" outlineLevel="0" collapsed="false">
      <c r="A34" s="11" t="n">
        <v>30</v>
      </c>
      <c r="B34" s="8" t="s">
        <v>465</v>
      </c>
      <c r="C34" s="11" t="s">
        <v>466</v>
      </c>
      <c r="D34" s="17" t="s">
        <v>1013</v>
      </c>
      <c r="E34" s="9" t="s">
        <v>1251</v>
      </c>
      <c r="F34" s="11" t="s">
        <v>467</v>
      </c>
      <c r="G34" s="11" t="s">
        <v>2579</v>
      </c>
      <c r="H34" s="11" t="s">
        <v>2580</v>
      </c>
      <c r="I34" s="11" t="s">
        <v>2581</v>
      </c>
      <c r="J34" s="11" t="s">
        <v>233</v>
      </c>
      <c r="K34" s="9" t="s">
        <v>233</v>
      </c>
      <c r="L34" s="17" t="s">
        <v>1013</v>
      </c>
      <c r="M34" s="11" t="s">
        <v>2582</v>
      </c>
      <c r="N34" s="11" t="s">
        <v>2583</v>
      </c>
      <c r="O34" s="11" t="s">
        <v>1637</v>
      </c>
      <c r="P34" s="11" t="s">
        <v>2584</v>
      </c>
      <c r="Q34" s="11" t="s">
        <v>1523</v>
      </c>
      <c r="R34" s="11" t="s">
        <v>1524</v>
      </c>
      <c r="S34" s="9" t="s">
        <v>1261</v>
      </c>
      <c r="T34" s="11" t="s">
        <v>2585</v>
      </c>
      <c r="U34" s="11"/>
      <c r="V34" s="9" t="s">
        <v>789</v>
      </c>
      <c r="W34" s="11" t="s">
        <v>2586</v>
      </c>
    </row>
    <row r="35" customFormat="false" ht="72.75" hidden="false" customHeight="true" outlineLevel="0" collapsed="false">
      <c r="A35" s="11" t="n">
        <v>31</v>
      </c>
      <c r="B35" s="8" t="s">
        <v>468</v>
      </c>
      <c r="C35" s="11" t="s">
        <v>469</v>
      </c>
      <c r="D35" s="17" t="s">
        <v>1015</v>
      </c>
      <c r="E35" s="9" t="s">
        <v>1251</v>
      </c>
      <c r="F35" s="11" t="s">
        <v>470</v>
      </c>
      <c r="G35" s="11" t="s">
        <v>2587</v>
      </c>
      <c r="H35" s="11" t="s">
        <v>2588</v>
      </c>
      <c r="I35" s="11" t="s">
        <v>2589</v>
      </c>
      <c r="J35" s="11" t="s">
        <v>1014</v>
      </c>
      <c r="K35" s="9" t="s">
        <v>233</v>
      </c>
      <c r="L35" s="17" t="s">
        <v>1015</v>
      </c>
      <c r="M35" s="11" t="s">
        <v>2590</v>
      </c>
      <c r="N35" s="11" t="s">
        <v>1273</v>
      </c>
      <c r="O35" s="11" t="s">
        <v>1637</v>
      </c>
      <c r="P35" s="11" t="s">
        <v>2591</v>
      </c>
      <c r="Q35" s="11" t="s">
        <v>2592</v>
      </c>
      <c r="R35" s="11" t="s">
        <v>2290</v>
      </c>
      <c r="S35" s="9" t="s">
        <v>233</v>
      </c>
      <c r="T35" s="11" t="s">
        <v>2593</v>
      </c>
      <c r="U35" s="11" t="s">
        <v>2594</v>
      </c>
      <c r="V35" s="9" t="s">
        <v>781</v>
      </c>
      <c r="W35" s="11" t="s">
        <v>2595</v>
      </c>
    </row>
    <row r="36" customFormat="false" ht="243.75" hidden="false" customHeight="true" outlineLevel="0" collapsed="false">
      <c r="A36" s="11" t="n">
        <v>32</v>
      </c>
      <c r="B36" s="8" t="s">
        <v>471</v>
      </c>
      <c r="C36" s="11" t="s">
        <v>318</v>
      </c>
      <c r="D36" s="17" t="s">
        <v>1017</v>
      </c>
      <c r="E36" s="9" t="s">
        <v>1251</v>
      </c>
      <c r="F36" s="11" t="s">
        <v>472</v>
      </c>
      <c r="G36" s="11" t="s">
        <v>2596</v>
      </c>
      <c r="H36" s="11" t="s">
        <v>2597</v>
      </c>
      <c r="I36" s="11" t="s">
        <v>2598</v>
      </c>
      <c r="J36" s="11" t="s">
        <v>1016</v>
      </c>
      <c r="K36" s="9" t="s">
        <v>233</v>
      </c>
      <c r="L36" s="17" t="s">
        <v>1017</v>
      </c>
      <c r="M36" s="11" t="s">
        <v>2599</v>
      </c>
      <c r="N36" s="11" t="s">
        <v>2600</v>
      </c>
      <c r="O36" s="11" t="s">
        <v>2601</v>
      </c>
      <c r="P36" s="11" t="s">
        <v>2602</v>
      </c>
      <c r="Q36" s="11" t="s">
        <v>2603</v>
      </c>
      <c r="R36" s="11" t="s">
        <v>2604</v>
      </c>
      <c r="S36" s="9" t="s">
        <v>1310</v>
      </c>
      <c r="T36" s="11" t="s">
        <v>2605</v>
      </c>
      <c r="U36" s="11" t="s">
        <v>2606</v>
      </c>
      <c r="V36" s="9" t="s">
        <v>789</v>
      </c>
      <c r="W36" s="11" t="s">
        <v>2607</v>
      </c>
    </row>
    <row r="37" customFormat="false" ht="195" hidden="false" customHeight="true" outlineLevel="0" collapsed="false">
      <c r="A37" s="11" t="n">
        <v>33</v>
      </c>
      <c r="B37" s="8" t="s">
        <v>473</v>
      </c>
      <c r="C37" s="11" t="s">
        <v>474</v>
      </c>
      <c r="D37" s="17" t="s">
        <v>1019</v>
      </c>
      <c r="E37" s="9" t="s">
        <v>1251</v>
      </c>
      <c r="F37" s="11" t="s">
        <v>470</v>
      </c>
      <c r="G37" s="11" t="s">
        <v>2608</v>
      </c>
      <c r="H37" s="11" t="s">
        <v>2609</v>
      </c>
      <c r="I37" s="11" t="s">
        <v>2610</v>
      </c>
      <c r="J37" s="11" t="s">
        <v>1018</v>
      </c>
      <c r="K37" s="9" t="s">
        <v>233</v>
      </c>
      <c r="L37" s="17" t="s">
        <v>1019</v>
      </c>
      <c r="M37" s="11" t="s">
        <v>2611</v>
      </c>
      <c r="N37" s="11" t="s">
        <v>2612</v>
      </c>
      <c r="O37" s="11" t="s">
        <v>1637</v>
      </c>
      <c r="P37" s="11" t="s">
        <v>2613</v>
      </c>
      <c r="Q37" s="11" t="s">
        <v>2614</v>
      </c>
      <c r="R37" s="11" t="s">
        <v>2290</v>
      </c>
      <c r="S37" s="9" t="s">
        <v>233</v>
      </c>
      <c r="T37" s="11" t="s">
        <v>2615</v>
      </c>
      <c r="U37" s="11" t="s">
        <v>2616</v>
      </c>
      <c r="V37" s="9" t="s">
        <v>789</v>
      </c>
      <c r="W37" s="11" t="s">
        <v>2617</v>
      </c>
    </row>
    <row r="38" customFormat="false" ht="195" hidden="false" customHeight="true" outlineLevel="0" collapsed="false">
      <c r="A38" s="11" t="n">
        <v>34</v>
      </c>
      <c r="B38" s="8" t="s">
        <v>475</v>
      </c>
      <c r="C38" s="11" t="s">
        <v>328</v>
      </c>
      <c r="D38" s="17" t="s">
        <v>1021</v>
      </c>
      <c r="E38" s="9" t="s">
        <v>1251</v>
      </c>
      <c r="F38" s="11" t="s">
        <v>476</v>
      </c>
      <c r="G38" s="11" t="s">
        <v>2618</v>
      </c>
      <c r="H38" s="11" t="s">
        <v>2619</v>
      </c>
      <c r="I38" s="11" t="s">
        <v>2620</v>
      </c>
      <c r="J38" s="11" t="s">
        <v>1020</v>
      </c>
      <c r="K38" s="9" t="s">
        <v>477</v>
      </c>
      <c r="L38" s="17" t="s">
        <v>1021</v>
      </c>
      <c r="M38" s="11" t="s">
        <v>2621</v>
      </c>
      <c r="N38" s="11" t="s">
        <v>1273</v>
      </c>
      <c r="O38" s="11" t="s">
        <v>1637</v>
      </c>
      <c r="P38" s="11" t="s">
        <v>2622</v>
      </c>
      <c r="Q38" s="11" t="s">
        <v>2623</v>
      </c>
      <c r="R38" s="11" t="s">
        <v>2290</v>
      </c>
      <c r="S38" s="9" t="s">
        <v>1296</v>
      </c>
      <c r="T38" s="11" t="s">
        <v>2624</v>
      </c>
      <c r="U38" s="11" t="s">
        <v>2625</v>
      </c>
      <c r="V38" s="9" t="s">
        <v>794</v>
      </c>
      <c r="W38" s="11" t="s">
        <v>2626</v>
      </c>
    </row>
    <row r="39" customFormat="false" ht="97.5" hidden="false" customHeight="true" outlineLevel="0" collapsed="false">
      <c r="A39" s="11" t="n">
        <v>35</v>
      </c>
      <c r="B39" s="8" t="s">
        <v>478</v>
      </c>
      <c r="C39" s="11" t="s">
        <v>479</v>
      </c>
      <c r="D39" s="17" t="s">
        <v>1023</v>
      </c>
      <c r="E39" s="9" t="s">
        <v>1251</v>
      </c>
      <c r="F39" s="11" t="s">
        <v>397</v>
      </c>
      <c r="G39" s="11" t="s">
        <v>2627</v>
      </c>
      <c r="H39" s="11" t="s">
        <v>2628</v>
      </c>
      <c r="I39" s="11" t="s">
        <v>2629</v>
      </c>
      <c r="J39" s="11" t="s">
        <v>1022</v>
      </c>
      <c r="K39" s="9" t="s">
        <v>233</v>
      </c>
      <c r="L39" s="17" t="s">
        <v>1023</v>
      </c>
      <c r="M39" s="11" t="s">
        <v>2630</v>
      </c>
      <c r="N39" s="11" t="s">
        <v>2631</v>
      </c>
      <c r="O39" s="11" t="s">
        <v>1637</v>
      </c>
      <c r="P39" s="11" t="s">
        <v>2632</v>
      </c>
      <c r="Q39" s="11" t="s">
        <v>2633</v>
      </c>
      <c r="R39" s="11" t="s">
        <v>1524</v>
      </c>
      <c r="S39" s="9" t="s">
        <v>1261</v>
      </c>
      <c r="T39" s="11" t="s">
        <v>2634</v>
      </c>
      <c r="U39" s="11"/>
      <c r="V39" s="9" t="s">
        <v>789</v>
      </c>
      <c r="W39" s="11" t="s">
        <v>2635</v>
      </c>
    </row>
    <row r="40" customFormat="false" ht="72.75" hidden="false" customHeight="true" outlineLevel="0" collapsed="false">
      <c r="A40" s="11" t="n">
        <v>36</v>
      </c>
      <c r="B40" s="8" t="s">
        <v>480</v>
      </c>
      <c r="C40" s="11" t="s">
        <v>481</v>
      </c>
      <c r="D40" s="17" t="s">
        <v>2636</v>
      </c>
      <c r="E40" s="9" t="s">
        <v>1276</v>
      </c>
      <c r="F40" s="11" t="s">
        <v>323</v>
      </c>
      <c r="G40" s="11" t="s">
        <v>2637</v>
      </c>
      <c r="H40" s="11" t="s">
        <v>2638</v>
      </c>
      <c r="I40" s="11" t="s">
        <v>2639</v>
      </c>
      <c r="J40" s="11" t="s">
        <v>1024</v>
      </c>
      <c r="K40" s="9" t="s">
        <v>181</v>
      </c>
      <c r="L40" s="17" t="s">
        <v>1025</v>
      </c>
      <c r="M40" s="11" t="s">
        <v>2640</v>
      </c>
      <c r="N40" s="11" t="s">
        <v>2641</v>
      </c>
      <c r="O40" s="11" t="s">
        <v>1637</v>
      </c>
      <c r="P40" s="11" t="s">
        <v>2642</v>
      </c>
      <c r="Q40" s="11" t="s">
        <v>1523</v>
      </c>
      <c r="R40" s="11" t="s">
        <v>1524</v>
      </c>
      <c r="S40" s="9" t="s">
        <v>1261</v>
      </c>
      <c r="T40" s="11" t="s">
        <v>2643</v>
      </c>
      <c r="U40" s="11"/>
      <c r="V40" s="9" t="s">
        <v>786</v>
      </c>
      <c r="W40" s="11" t="s">
        <v>2644</v>
      </c>
    </row>
    <row r="41" customFormat="false" ht="231.75" hidden="false" customHeight="true" outlineLevel="0" collapsed="false">
      <c r="A41" s="11" t="n">
        <v>37</v>
      </c>
      <c r="B41" s="8" t="s">
        <v>482</v>
      </c>
      <c r="C41" s="11" t="s">
        <v>483</v>
      </c>
      <c r="D41" s="17" t="s">
        <v>2645</v>
      </c>
      <c r="E41" s="9" t="s">
        <v>1251</v>
      </c>
      <c r="F41" s="11" t="s">
        <v>467</v>
      </c>
      <c r="G41" s="11" t="s">
        <v>2646</v>
      </c>
      <c r="H41" s="11" t="s">
        <v>2647</v>
      </c>
      <c r="I41" s="11" t="s">
        <v>2648</v>
      </c>
      <c r="J41" s="11" t="s">
        <v>1026</v>
      </c>
      <c r="K41" s="9" t="s">
        <v>181</v>
      </c>
      <c r="L41" s="17" t="s">
        <v>1027</v>
      </c>
      <c r="M41" s="11" t="s">
        <v>2649</v>
      </c>
      <c r="N41" s="11" t="s">
        <v>2650</v>
      </c>
      <c r="O41" s="11" t="s">
        <v>2651</v>
      </c>
      <c r="P41" s="11" t="s">
        <v>2652</v>
      </c>
      <c r="Q41" s="11" t="s">
        <v>2653</v>
      </c>
      <c r="R41" s="11" t="s">
        <v>2654</v>
      </c>
      <c r="S41" s="9" t="s">
        <v>1261</v>
      </c>
      <c r="T41" s="11" t="s">
        <v>2655</v>
      </c>
      <c r="U41" s="11" t="s">
        <v>2656</v>
      </c>
      <c r="V41" s="9" t="s">
        <v>789</v>
      </c>
      <c r="W41" s="11" t="s">
        <v>2657</v>
      </c>
    </row>
    <row r="42" customFormat="false" ht="158.25" hidden="false" customHeight="true" outlineLevel="0" collapsed="false">
      <c r="A42" s="11" t="n">
        <v>38</v>
      </c>
      <c r="B42" s="8" t="s">
        <v>332</v>
      </c>
      <c r="C42" s="11" t="s">
        <v>484</v>
      </c>
      <c r="D42" s="17" t="s">
        <v>1971</v>
      </c>
      <c r="E42" s="9" t="s">
        <v>1251</v>
      </c>
      <c r="F42" s="11" t="s">
        <v>467</v>
      </c>
      <c r="G42" s="11" t="s">
        <v>2658</v>
      </c>
      <c r="H42" s="11" t="s">
        <v>2659</v>
      </c>
      <c r="I42" s="11" t="s">
        <v>2660</v>
      </c>
      <c r="J42" s="11" t="s">
        <v>1028</v>
      </c>
      <c r="K42" s="9" t="s">
        <v>233</v>
      </c>
      <c r="L42" s="17" t="s">
        <v>1029</v>
      </c>
      <c r="M42" s="11" t="s">
        <v>2661</v>
      </c>
      <c r="N42" s="11" t="s">
        <v>2662</v>
      </c>
      <c r="O42" s="11" t="s">
        <v>1637</v>
      </c>
      <c r="P42" s="11" t="s">
        <v>2663</v>
      </c>
      <c r="Q42" s="11" t="s">
        <v>2653</v>
      </c>
      <c r="R42" s="11" t="s">
        <v>2664</v>
      </c>
      <c r="S42" s="9" t="s">
        <v>1261</v>
      </c>
      <c r="T42" s="11" t="s">
        <v>2665</v>
      </c>
      <c r="U42" s="11" t="s">
        <v>2666</v>
      </c>
      <c r="V42" s="9" t="s">
        <v>789</v>
      </c>
      <c r="W42" s="11" t="s">
        <v>2667</v>
      </c>
    </row>
    <row r="43" customFormat="false" ht="48.75" hidden="false" customHeight="true" outlineLevel="0" collapsed="false">
      <c r="A43" s="11" t="n">
        <v>39</v>
      </c>
      <c r="B43" s="8" t="s">
        <v>485</v>
      </c>
      <c r="C43" s="11" t="s">
        <v>486</v>
      </c>
      <c r="D43" s="17" t="s">
        <v>1030</v>
      </c>
      <c r="E43" s="9" t="s">
        <v>1251</v>
      </c>
      <c r="F43" s="11" t="s">
        <v>467</v>
      </c>
      <c r="G43" s="11" t="s">
        <v>2668</v>
      </c>
      <c r="H43" s="11" t="s">
        <v>2669</v>
      </c>
      <c r="I43" s="11" t="s">
        <v>2670</v>
      </c>
      <c r="J43" s="11" t="s">
        <v>233</v>
      </c>
      <c r="K43" s="9" t="s">
        <v>233</v>
      </c>
      <c r="L43" s="17" t="s">
        <v>1030</v>
      </c>
      <c r="M43" s="11" t="s">
        <v>2671</v>
      </c>
      <c r="N43" s="11" t="s">
        <v>2583</v>
      </c>
      <c r="O43" s="11" t="s">
        <v>1637</v>
      </c>
      <c r="P43" s="11" t="s">
        <v>2672</v>
      </c>
      <c r="Q43" s="11" t="s">
        <v>1523</v>
      </c>
      <c r="R43" s="11" t="s">
        <v>1524</v>
      </c>
      <c r="S43" s="9" t="s">
        <v>1261</v>
      </c>
      <c r="T43" s="11" t="s">
        <v>2673</v>
      </c>
      <c r="U43" s="11"/>
      <c r="V43" s="9" t="s">
        <v>786</v>
      </c>
      <c r="W43" s="11" t="s">
        <v>2674</v>
      </c>
    </row>
    <row r="44" customFormat="false" ht="121.5" hidden="false" customHeight="true" outlineLevel="0" collapsed="false">
      <c r="A44" s="11" t="n">
        <v>40</v>
      </c>
      <c r="B44" s="8" t="s">
        <v>487</v>
      </c>
      <c r="C44" s="11" t="s">
        <v>488</v>
      </c>
      <c r="D44" s="17" t="s">
        <v>2675</v>
      </c>
      <c r="E44" s="9" t="s">
        <v>1251</v>
      </c>
      <c r="F44" s="11" t="s">
        <v>467</v>
      </c>
      <c r="G44" s="11" t="s">
        <v>2676</v>
      </c>
      <c r="H44" s="11" t="s">
        <v>2677</v>
      </c>
      <c r="I44" s="11" t="s">
        <v>2678</v>
      </c>
      <c r="J44" s="11" t="s">
        <v>1031</v>
      </c>
      <c r="K44" s="9" t="s">
        <v>489</v>
      </c>
      <c r="L44" s="17" t="s">
        <v>1032</v>
      </c>
      <c r="M44" s="11" t="s">
        <v>2679</v>
      </c>
      <c r="N44" s="11" t="s">
        <v>2680</v>
      </c>
      <c r="O44" s="11" t="s">
        <v>1637</v>
      </c>
      <c r="P44" s="11" t="s">
        <v>2681</v>
      </c>
      <c r="Q44" s="11" t="s">
        <v>1523</v>
      </c>
      <c r="R44" s="11" t="s">
        <v>1524</v>
      </c>
      <c r="S44" s="9" t="s">
        <v>1261</v>
      </c>
      <c r="T44" s="11" t="s">
        <v>2682</v>
      </c>
      <c r="U44" s="11"/>
      <c r="V44" s="9" t="s">
        <v>789</v>
      </c>
      <c r="W44" s="11" t="s">
        <v>2683</v>
      </c>
    </row>
    <row r="45" customFormat="false" ht="280.5" hidden="false" customHeight="true" outlineLevel="0" collapsed="false">
      <c r="A45" s="11" t="n">
        <v>41</v>
      </c>
      <c r="B45" s="8" t="s">
        <v>490</v>
      </c>
      <c r="C45" s="11" t="s">
        <v>325</v>
      </c>
      <c r="D45" s="17" t="s">
        <v>2684</v>
      </c>
      <c r="E45" s="9" t="s">
        <v>1251</v>
      </c>
      <c r="F45" s="11" t="s">
        <v>467</v>
      </c>
      <c r="G45" s="11" t="s">
        <v>2685</v>
      </c>
      <c r="H45" s="11" t="s">
        <v>2686</v>
      </c>
      <c r="I45" s="11" t="s">
        <v>2687</v>
      </c>
      <c r="J45" s="11" t="s">
        <v>1033</v>
      </c>
      <c r="K45" s="9" t="s">
        <v>491</v>
      </c>
      <c r="L45" s="17" t="s">
        <v>960</v>
      </c>
      <c r="M45" s="11" t="s">
        <v>2688</v>
      </c>
      <c r="N45" s="11" t="s">
        <v>2689</v>
      </c>
      <c r="O45" s="11" t="s">
        <v>2690</v>
      </c>
      <c r="P45" s="11" t="s">
        <v>2691</v>
      </c>
      <c r="Q45" s="11" t="s">
        <v>2653</v>
      </c>
      <c r="R45" s="11" t="s">
        <v>1524</v>
      </c>
      <c r="S45" s="9" t="s">
        <v>1261</v>
      </c>
      <c r="T45" s="11" t="s">
        <v>2692</v>
      </c>
      <c r="U45" s="11" t="s">
        <v>2693</v>
      </c>
      <c r="V45" s="9" t="s">
        <v>781</v>
      </c>
      <c r="W45" s="11" t="s">
        <v>2694</v>
      </c>
    </row>
    <row r="46" customFormat="false" ht="170.25" hidden="false" customHeight="true" outlineLevel="0" collapsed="false">
      <c r="A46" s="11" t="n">
        <v>42</v>
      </c>
      <c r="B46" s="8" t="s">
        <v>492</v>
      </c>
      <c r="C46" s="11" t="s">
        <v>338</v>
      </c>
      <c r="D46" s="17" t="s">
        <v>2695</v>
      </c>
      <c r="E46" s="9" t="s">
        <v>1251</v>
      </c>
      <c r="F46" s="11" t="s">
        <v>493</v>
      </c>
      <c r="G46" s="11" t="s">
        <v>2696</v>
      </c>
      <c r="H46" s="11" t="s">
        <v>2697</v>
      </c>
      <c r="I46" s="11" t="s">
        <v>2698</v>
      </c>
      <c r="J46" s="11" t="s">
        <v>1034</v>
      </c>
      <c r="K46" s="9" t="s">
        <v>233</v>
      </c>
      <c r="L46" s="17" t="s">
        <v>1035</v>
      </c>
      <c r="M46" s="11" t="s">
        <v>2699</v>
      </c>
      <c r="N46" s="11" t="s">
        <v>2700</v>
      </c>
      <c r="O46" s="11" t="s">
        <v>2701</v>
      </c>
      <c r="P46" s="11" t="s">
        <v>2702</v>
      </c>
      <c r="Q46" s="11" t="s">
        <v>2703</v>
      </c>
      <c r="R46" s="11" t="s">
        <v>2704</v>
      </c>
      <c r="S46" s="9" t="s">
        <v>2705</v>
      </c>
      <c r="T46" s="11" t="s">
        <v>2706</v>
      </c>
      <c r="U46" s="11" t="s">
        <v>2707</v>
      </c>
      <c r="V46" s="9" t="s">
        <v>789</v>
      </c>
      <c r="W46" s="11" t="s">
        <v>2708</v>
      </c>
    </row>
  </sheetData>
  <autoFilter ref="A4:W46"/>
  <conditionalFormatting sqref="K5:K46">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46">
    <cfRule type="cellIs" priority="6" operator="equal" aboveAverage="0" equalAverage="0" bottom="0" percent="0" rank="0" text="" dxfId="15">
      <formula>"Yes"</formula>
    </cfRule>
  </conditionalFormatting>
  <hyperlinks>
    <hyperlink ref="D5" r:id="rId1" display="https://air.security"/>
    <hyperlink ref="L5" r:id="rId2" display="https://techcrunch.com/2026/09/01/air-raises-50m-to-help-companies-vet-the-skills-and-add-ons-ai-agents-use/"/>
    <hyperlink ref="D6" r:id="rId3" display="https://anchore.com/platform/"/>
    <hyperlink ref="L6" r:id="rId4" display="https://anchore.com/blog/extending-supply-chain-security-to-ai-models-with-anchore-enterprise-v6-2/"/>
    <hyperlink ref="D7" r:id="rId5" display="https://www.blackduck.com/software-composition-analysis-tools/black-duck-sca.html"/>
    <hyperlink ref="L7" r:id="rId6" display="https://www.blackduck.com/software-composition-analysis-tools/black-duck-sca.html"/>
    <hyperlink ref="D8" r:id="rId7" display="https://checkmarx.com/product/sbom/"/>
    <hyperlink ref="L8" r:id="rId8" display="https://vmblog.com/news/checkmarx-delivers-complete-ai-asset-visibility-and-governance-for-the-software-supply-chain-closing-the-shadow-ai-gap/"/>
    <hyperlink ref="D9" r:id="rId9" display="https://www.cisco.com/site/us/en/products/security/ai-defense/index.html"/>
    <hyperlink ref="L9" r:id="rId10" display="https://blogs.cisco.com/ai/know-your-ai-stack-introducing-ai-bom-in-cisco-ai-defense"/>
    <hyperlink ref="D10" r:id="rId11" display="https://www.cybeats.com/sbom-studio"/>
    <hyperlink ref="L10" r:id="rId12" display="https://www.cybeats.com/sbom-studio"/>
    <hyperlink ref="D11" r:id="rId13" display="https://www.endorlabs.com/"/>
    <hyperlink ref="L11" r:id="rId14" display="https://www.endorlabs.com/learn/endor-labs-is-a-visionary-in-the-2026-gartner-r-magic-quadrant-tm-for-software-supply-chain-security"/>
    <hyperlink ref="D12" r:id="rId15" display="https://finitestate.io/platform"/>
    <hyperlink ref="L12" r:id="rId16" display="https://finitestate.io/platform"/>
    <hyperlink ref="D13" r:id="rId17" display="https://fossa.com/product/sbom-management/"/>
    <hyperlink ref="L13" r:id="rId18" display="https://fossa.com/product/sbom-management/"/>
    <hyperlink ref="D14" r:id="rId19" display="https://docs.github.com/en/code-security/supply-chain-security/understanding-your-software-supply-chain/exporting-a-software-bill-of-materials-for-your-repository"/>
    <hyperlink ref="L14" r:id="rId20" display="https://docs.github.com/en/code-security/supply-chain-security/understanding-your-software-supply-chain/exporting-a-software-bill-of-materials-for-your-repository"/>
    <hyperlink ref="D15" r:id="rId21" display="https://help.hcl-software.com/appscan/ASoC/ent_generate_report.html"/>
    <hyperlink ref="L15" r:id="rId22" display="https://help.hcl-software.com/appscan/360/2.1.0/360_whats_new.html"/>
    <hyperlink ref="D16" r:id="rId23" display="https://hiddenlayer.com/"/>
    <hyperlink ref="L16" r:id="rId24" display="https://hiddenlayer.com/"/>
    <hyperlink ref="D17" r:id="rId25" display="https://jfrog.com/xray/"/>
    <hyperlink ref="L17" r:id="rId26" display="https://jfrog.com/blog/jfrog-named-a-leader-in-the-gartner-magic-quadrant/"/>
    <hyperlink ref="D18" r:id="rId27" display="https://www.legitsecurity.com/"/>
    <hyperlink ref="L18" r:id="rId28" display="https://www.legitsecurity.com/"/>
    <hyperlink ref="D19" r:id="rId29" display="https://www.lineaje.com/"/>
    <hyperlink ref="L19" r:id="rId30" display="https://finance.yahoo.com/technology/ai/articles/lineaje-recognized-visionary-2026-gartner-154300110.html"/>
    <hyperlink ref="D20" r:id="rId31" display="https://www.manifestcyber.com/aibom"/>
    <hyperlink ref="L20" r:id="rId32" display="https://www.manifestcyber.com/press/first-ai-risk-transparency-solution"/>
    <hyperlink ref="D21" r:id="rId33" display="https://www.mend.io/mend-ai/"/>
    <hyperlink ref="L21" r:id="rId34" display="https://www.mend.io/mend-ai/"/>
    <hyperlink ref="D22" r:id="rId35" display="https://noma.security/"/>
    <hyperlink ref="L22" r:id="rId36" display="https://noma.security/"/>
    <hyperlink ref="D23" r:id="rId37" display="https://www.oligo.security/"/>
    <hyperlink ref="L23" r:id="rId38" display="https://www.oligo.security/"/>
    <hyperlink ref="D24" r:id="rId39" display="https://docs.debricked.com/product/exporting-sbom/sbom-export"/>
    <hyperlink ref="L24" r:id="rId40" display="https://www.opentext.com/products/application-security-aviator"/>
    <hyperlink ref="D25" r:id="rId41" display="https://www.paloaltonetworks.com/prisma/prisma-airs"/>
    <hyperlink ref="L25" r:id="rId42" display="https://www.paloaltonetworks.com/company/press/2025/palo-alto-networks-completes-acquisition-of-protect-ai"/>
    <hyperlink ref="D26" r:id="rId43" display="https://prompt.security/"/>
    <hyperlink ref="L26" r:id="rId44" display="https://prompt.security/blog/prompt-security-sentinelone-a-new-chapter-begins"/>
    <hyperlink ref="D27" r:id="rId45" display="https://safeguard.sh/"/>
    <hyperlink ref="L27" r:id="rId46" display="https://safeguard.sh/"/>
    <hyperlink ref="D28" r:id="rId47" display="https://scribesecurity.com/"/>
    <hyperlink ref="L28" r:id="rId48" display="https://scribesecurity.com/"/>
    <hyperlink ref="D29" r:id="rId49" display="https://docs.snyk.io/developer-tools/snyk-cli/commands/aibom.md"/>
    <hyperlink ref="L29" r:id="rId50" display="https://docs.snyk.io/developer-tools/snyk-cli/commands/aibom.md"/>
    <hyperlink ref="D30" r:id="rId51" display="https://www.sonatype.com/products/sbom-manager"/>
    <hyperlink ref="L30" r:id="rId52" display="https://www.sonatype.com/products/sbom-manager"/>
    <hyperlink ref="D31" r:id="rId53" display="https://docs.veracode.com/r/Supply_chain_management_and_SBOMs"/>
    <hyperlink ref="L31" r:id="rId54" display="https://docs.veracode.com/updates/r/Veracode_CLI_Updates"/>
    <hyperlink ref="D32" r:id="rId55" display="https://zeropath.com/products/aibom"/>
    <hyperlink ref="L32" r:id="rId56" display="https://zeropath.com/products/aibom"/>
    <hyperlink ref="D33" r:id="rId57" display="https://github.com/msaad00/agent-bom"/>
    <hyperlink ref="L33" r:id="rId58" display="https://github.com/msaad00/agent-bom"/>
    <hyperlink ref="D34" r:id="rId59" display="https://github.com/bomctl/bomctl"/>
    <hyperlink ref="L34" r:id="rId60" display="https://github.com/bomctl/bomctl"/>
    <hyperlink ref="D35" r:id="rId61" display="https://github.com/chainloop-dev/chainloop"/>
    <hyperlink ref="L35" r:id="rId62" display="https://github.com/chainloop-dev/chainloop"/>
    <hyperlink ref="D36" r:id="rId63" display="https://docs.gitlab.com/user/application_security/dependency_scanning/"/>
    <hyperlink ref="L36" r:id="rId64" display="https://docs.gitlab.com/user/application_security/dependency_scanning/"/>
    <hyperlink ref="D37" r:id="rId65" display="https://github.com/interlynk-io/sbomqs"/>
    <hyperlink ref="L37" r:id="rId66" display="https://github.com/interlynk-io/sbomqs"/>
    <hyperlink ref="D38" r:id="rId67" display="https://www.kusari.dev/"/>
    <hyperlink ref="L38" r:id="rId68" display="https://www.kusari.dev/"/>
    <hyperlink ref="D39" r:id="rId69" display="https://github.com/microsoft/sbom-tool"/>
    <hyperlink ref="L39" r:id="rId70" display="https://github.com/microsoft/sbom-tool"/>
    <hyperlink ref="D40" r:id="rId71" display="https://owasp-genai-aibom.org"/>
    <hyperlink ref="L40" r:id="rId72" display="https://github.com/aetheris-ai/aibom-generator"/>
    <hyperlink ref="D41" r:id="rId73" display="https://cyclonedx.org/tool-center/"/>
    <hyperlink ref="L41" r:id="rId74" display="https://github.com/CycloneDX/cdxgen/releases/latest"/>
    <hyperlink ref="D42" r:id="rId75" display="https://dependencytrack.org/"/>
    <hyperlink ref="L42" r:id="rId76" display="https://docs.dependencytrack.org/changelog/"/>
    <hyperlink ref="D43" r:id="rId77" display="https://github.com/eBay/sbom-scorecard"/>
    <hyperlink ref="L43" r:id="rId78" display="https://github.com/eBay/sbom-scorecard"/>
    <hyperlink ref="D44" r:id="rId79" display="https://spdx.dev/use/tools/"/>
    <hyperlink ref="L44" r:id="rId80" display="https://spdx.github.io/spdx-spec/v3.0.1/model/AI/AI/"/>
    <hyperlink ref="D45" r:id="rId81" display="https://github.com/anchore/syft"/>
    <hyperlink ref="L45" r:id="rId82" display="https://anchore.com/blog/extending-supply-chain-security-to-ai-models-with-anchore-enterprise-v6-2/"/>
    <hyperlink ref="D46" r:id="rId83" display="https://trivy.dev/latest/docs/supply-chain/sbom/"/>
    <hyperlink ref="L46" r:id="rId84" display="https://trivy.dev/latest/docs/supply-chain/v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2709</v>
      </c>
    </row>
    <row r="2" customFormat="false" ht="15" hidden="false" customHeight="false" outlineLevel="0" collapsed="false">
      <c r="A2" s="2" t="s">
        <v>2710</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84.75" hidden="false" customHeight="true" outlineLevel="0" collapsed="false">
      <c r="A5" s="11" t="n">
        <v>1</v>
      </c>
      <c r="B5" s="8" t="s">
        <v>494</v>
      </c>
      <c r="C5" s="11" t="s">
        <v>495</v>
      </c>
      <c r="D5" s="17" t="s">
        <v>2711</v>
      </c>
      <c r="E5" s="9" t="s">
        <v>1276</v>
      </c>
      <c r="F5" s="11" t="s">
        <v>496</v>
      </c>
      <c r="G5" s="11" t="s">
        <v>2712</v>
      </c>
      <c r="H5" s="11" t="s">
        <v>2713</v>
      </c>
      <c r="I5" s="11" t="s">
        <v>2714</v>
      </c>
      <c r="J5" s="11" t="s">
        <v>1036</v>
      </c>
      <c r="K5" s="9" t="s">
        <v>497</v>
      </c>
      <c r="L5" s="17" t="s">
        <v>1037</v>
      </c>
      <c r="M5" s="11" t="s">
        <v>2715</v>
      </c>
      <c r="N5" s="11" t="s">
        <v>2716</v>
      </c>
      <c r="O5" s="11" t="s">
        <v>1637</v>
      </c>
      <c r="P5" s="11" t="s">
        <v>2717</v>
      </c>
      <c r="Q5" s="11" t="s">
        <v>2718</v>
      </c>
      <c r="R5" s="11" t="s">
        <v>2719</v>
      </c>
      <c r="S5" s="9" t="s">
        <v>1310</v>
      </c>
      <c r="T5" s="11" t="s">
        <v>2720</v>
      </c>
      <c r="U5" s="11"/>
      <c r="V5" s="9" t="s">
        <v>789</v>
      </c>
      <c r="W5" s="11" t="s">
        <v>2721</v>
      </c>
    </row>
    <row r="6" customFormat="false" ht="97.5" hidden="false" customHeight="true" outlineLevel="0" collapsed="false">
      <c r="A6" s="11" t="n">
        <v>2</v>
      </c>
      <c r="B6" s="8" t="s">
        <v>498</v>
      </c>
      <c r="C6" s="11" t="s">
        <v>499</v>
      </c>
      <c r="D6" s="17" t="s">
        <v>1039</v>
      </c>
      <c r="E6" s="9" t="s">
        <v>1251</v>
      </c>
      <c r="F6" s="11" t="s">
        <v>183</v>
      </c>
      <c r="G6" s="11" t="s">
        <v>2722</v>
      </c>
      <c r="H6" s="11" t="s">
        <v>2723</v>
      </c>
      <c r="I6" s="11" t="s">
        <v>2724</v>
      </c>
      <c r="J6" s="11" t="s">
        <v>1038</v>
      </c>
      <c r="K6" s="9" t="s">
        <v>500</v>
      </c>
      <c r="L6" s="17" t="s">
        <v>1039</v>
      </c>
      <c r="M6" s="11" t="s">
        <v>2725</v>
      </c>
      <c r="N6" s="11" t="s">
        <v>2726</v>
      </c>
      <c r="O6" s="11" t="s">
        <v>2727</v>
      </c>
      <c r="P6" s="11" t="s">
        <v>2728</v>
      </c>
      <c r="Q6" s="11" t="s">
        <v>2729</v>
      </c>
      <c r="R6" s="11" t="s">
        <v>2730</v>
      </c>
      <c r="S6" s="9" t="s">
        <v>1296</v>
      </c>
      <c r="T6" s="11" t="s">
        <v>2731</v>
      </c>
      <c r="U6" s="11"/>
      <c r="V6" s="9" t="s">
        <v>786</v>
      </c>
      <c r="W6" s="11" t="s">
        <v>2732</v>
      </c>
    </row>
    <row r="7" customFormat="false" ht="158.25" hidden="false" customHeight="true" outlineLevel="0" collapsed="false">
      <c r="A7" s="11" t="n">
        <v>3</v>
      </c>
      <c r="B7" s="8" t="s">
        <v>501</v>
      </c>
      <c r="C7" s="11" t="s">
        <v>502</v>
      </c>
      <c r="D7" s="17" t="s">
        <v>1041</v>
      </c>
      <c r="E7" s="9" t="s">
        <v>1251</v>
      </c>
      <c r="F7" s="11" t="s">
        <v>183</v>
      </c>
      <c r="G7" s="11" t="s">
        <v>2733</v>
      </c>
      <c r="H7" s="11" t="s">
        <v>2734</v>
      </c>
      <c r="I7" s="11" t="s">
        <v>2735</v>
      </c>
      <c r="J7" s="11" t="s">
        <v>1040</v>
      </c>
      <c r="K7" s="9" t="s">
        <v>503</v>
      </c>
      <c r="L7" s="17" t="s">
        <v>1041</v>
      </c>
      <c r="M7" s="11" t="s">
        <v>2736</v>
      </c>
      <c r="N7" s="11" t="s">
        <v>1273</v>
      </c>
      <c r="O7" s="11" t="s">
        <v>2737</v>
      </c>
      <c r="P7" s="11" t="s">
        <v>2738</v>
      </c>
      <c r="Q7" s="11" t="s">
        <v>2739</v>
      </c>
      <c r="R7" s="11" t="s">
        <v>1273</v>
      </c>
      <c r="S7" s="9" t="s">
        <v>233</v>
      </c>
      <c r="T7" s="11" t="s">
        <v>2740</v>
      </c>
      <c r="U7" s="11"/>
      <c r="V7" s="9" t="s">
        <v>789</v>
      </c>
      <c r="W7" s="11" t="s">
        <v>2741</v>
      </c>
    </row>
    <row r="8" customFormat="false" ht="109.5" hidden="false" customHeight="true" outlineLevel="0" collapsed="false">
      <c r="A8" s="11" t="n">
        <v>4</v>
      </c>
      <c r="B8" s="8" t="s">
        <v>504</v>
      </c>
      <c r="C8" s="11" t="s">
        <v>505</v>
      </c>
      <c r="D8" s="17" t="s">
        <v>1043</v>
      </c>
      <c r="E8" s="9" t="s">
        <v>1276</v>
      </c>
      <c r="F8" s="11" t="s">
        <v>183</v>
      </c>
      <c r="G8" s="11" t="s">
        <v>1421</v>
      </c>
      <c r="H8" s="11" t="s">
        <v>2742</v>
      </c>
      <c r="I8" s="11" t="s">
        <v>2743</v>
      </c>
      <c r="J8" s="11" t="s">
        <v>1042</v>
      </c>
      <c r="K8" s="9" t="s">
        <v>506</v>
      </c>
      <c r="L8" s="17" t="s">
        <v>1043</v>
      </c>
      <c r="M8" s="11" t="s">
        <v>2744</v>
      </c>
      <c r="N8" s="11" t="s">
        <v>2745</v>
      </c>
      <c r="O8" s="11" t="s">
        <v>1637</v>
      </c>
      <c r="P8" s="11" t="s">
        <v>2746</v>
      </c>
      <c r="Q8" s="11" t="s">
        <v>2747</v>
      </c>
      <c r="R8" s="11" t="s">
        <v>1273</v>
      </c>
      <c r="S8" s="9" t="s">
        <v>233</v>
      </c>
      <c r="T8" s="11" t="s">
        <v>2748</v>
      </c>
      <c r="U8" s="11" t="s">
        <v>2749</v>
      </c>
      <c r="V8" s="9" t="s">
        <v>789</v>
      </c>
      <c r="W8" s="11" t="s">
        <v>2750</v>
      </c>
    </row>
    <row r="9" customFormat="false" ht="158.25" hidden="false" customHeight="true" outlineLevel="0" collapsed="false">
      <c r="A9" s="11" t="n">
        <v>5</v>
      </c>
      <c r="B9" s="8" t="s">
        <v>507</v>
      </c>
      <c r="C9" s="11" t="s">
        <v>508</v>
      </c>
      <c r="D9" s="17" t="s">
        <v>1105</v>
      </c>
      <c r="E9" s="9" t="s">
        <v>1251</v>
      </c>
      <c r="F9" s="11" t="s">
        <v>212</v>
      </c>
      <c r="G9" s="11" t="s">
        <v>2751</v>
      </c>
      <c r="H9" s="11" t="s">
        <v>2752</v>
      </c>
      <c r="I9" s="11" t="s">
        <v>2753</v>
      </c>
      <c r="J9" s="11" t="s">
        <v>1044</v>
      </c>
      <c r="K9" s="9" t="s">
        <v>509</v>
      </c>
      <c r="L9" s="17" t="s">
        <v>1045</v>
      </c>
      <c r="M9" s="11" t="s">
        <v>2754</v>
      </c>
      <c r="N9" s="11" t="s">
        <v>2755</v>
      </c>
      <c r="O9" s="11" t="s">
        <v>2756</v>
      </c>
      <c r="P9" s="11" t="s">
        <v>2757</v>
      </c>
      <c r="Q9" s="11" t="s">
        <v>2758</v>
      </c>
      <c r="R9" s="11" t="s">
        <v>2759</v>
      </c>
      <c r="S9" s="9" t="s">
        <v>1310</v>
      </c>
      <c r="T9" s="11" t="s">
        <v>2760</v>
      </c>
      <c r="U9" s="11" t="s">
        <v>2761</v>
      </c>
      <c r="V9" s="9" t="s">
        <v>789</v>
      </c>
      <c r="W9" s="11" t="s">
        <v>2762</v>
      </c>
    </row>
    <row r="10" customFormat="false" ht="158.25" hidden="false" customHeight="true" outlineLevel="0" collapsed="false">
      <c r="A10" s="11" t="n">
        <v>6</v>
      </c>
      <c r="B10" s="8" t="s">
        <v>510</v>
      </c>
      <c r="C10" s="11" t="s">
        <v>511</v>
      </c>
      <c r="D10" s="17" t="s">
        <v>2763</v>
      </c>
      <c r="E10" s="9" t="s">
        <v>1251</v>
      </c>
      <c r="F10" s="11" t="s">
        <v>512</v>
      </c>
      <c r="G10" s="11" t="s">
        <v>2764</v>
      </c>
      <c r="H10" s="11" t="s">
        <v>2765</v>
      </c>
      <c r="I10" s="11" t="s">
        <v>2766</v>
      </c>
      <c r="J10" s="11" t="s">
        <v>1046</v>
      </c>
      <c r="K10" s="9" t="s">
        <v>513</v>
      </c>
      <c r="L10" s="17" t="s">
        <v>1047</v>
      </c>
      <c r="M10" s="11" t="s">
        <v>2767</v>
      </c>
      <c r="N10" s="11" t="s">
        <v>2768</v>
      </c>
      <c r="O10" s="11" t="s">
        <v>2769</v>
      </c>
      <c r="P10" s="11" t="s">
        <v>2770</v>
      </c>
      <c r="Q10" s="11" t="s">
        <v>2771</v>
      </c>
      <c r="R10" s="11" t="s">
        <v>2772</v>
      </c>
      <c r="S10" s="9" t="s">
        <v>1296</v>
      </c>
      <c r="T10" s="11" t="s">
        <v>2773</v>
      </c>
      <c r="U10" s="11"/>
      <c r="V10" s="9" t="s">
        <v>789</v>
      </c>
      <c r="W10" s="11" t="s">
        <v>2774</v>
      </c>
    </row>
    <row r="11" customFormat="false" ht="109.5" hidden="false" customHeight="true" outlineLevel="0" collapsed="false">
      <c r="A11" s="11" t="n">
        <v>7</v>
      </c>
      <c r="B11" s="8" t="s">
        <v>514</v>
      </c>
      <c r="C11" s="11" t="s">
        <v>515</v>
      </c>
      <c r="D11" s="17" t="s">
        <v>2775</v>
      </c>
      <c r="E11" s="9" t="s">
        <v>1251</v>
      </c>
      <c r="F11" s="11" t="s">
        <v>516</v>
      </c>
      <c r="G11" s="11" t="s">
        <v>2776</v>
      </c>
      <c r="H11" s="11" t="s">
        <v>2777</v>
      </c>
      <c r="I11" s="11" t="s">
        <v>2778</v>
      </c>
      <c r="J11" s="11" t="s">
        <v>1048</v>
      </c>
      <c r="K11" s="9" t="s">
        <v>517</v>
      </c>
      <c r="L11" s="17" t="s">
        <v>1049</v>
      </c>
      <c r="M11" s="11" t="s">
        <v>2779</v>
      </c>
      <c r="N11" s="11" t="s">
        <v>2780</v>
      </c>
      <c r="O11" s="11" t="s">
        <v>1637</v>
      </c>
      <c r="P11" s="11" t="s">
        <v>2781</v>
      </c>
      <c r="Q11" s="11" t="s">
        <v>2782</v>
      </c>
      <c r="R11" s="11" t="s">
        <v>2783</v>
      </c>
      <c r="S11" s="9" t="s">
        <v>1310</v>
      </c>
      <c r="T11" s="11" t="s">
        <v>2784</v>
      </c>
      <c r="U11" s="11"/>
      <c r="V11" s="9" t="s">
        <v>786</v>
      </c>
      <c r="W11" s="11" t="s">
        <v>2785</v>
      </c>
    </row>
    <row r="12" customFormat="false" ht="109.5" hidden="false" customHeight="true" outlineLevel="0" collapsed="false">
      <c r="A12" s="11" t="n">
        <v>8</v>
      </c>
      <c r="B12" s="8" t="s">
        <v>518</v>
      </c>
      <c r="C12" s="11" t="s">
        <v>519</v>
      </c>
      <c r="D12" s="17" t="s">
        <v>2786</v>
      </c>
      <c r="E12" s="9" t="s">
        <v>1276</v>
      </c>
      <c r="F12" s="11" t="s">
        <v>516</v>
      </c>
      <c r="G12" s="11" t="s">
        <v>2787</v>
      </c>
      <c r="H12" s="11" t="s">
        <v>2788</v>
      </c>
      <c r="I12" s="11" t="s">
        <v>2789</v>
      </c>
      <c r="J12" s="11" t="s">
        <v>1050</v>
      </c>
      <c r="K12" s="9" t="s">
        <v>233</v>
      </c>
      <c r="L12" s="17" t="s">
        <v>1045</v>
      </c>
      <c r="M12" s="11" t="s">
        <v>2790</v>
      </c>
      <c r="N12" s="11" t="s">
        <v>2791</v>
      </c>
      <c r="O12" s="11" t="s">
        <v>1637</v>
      </c>
      <c r="P12" s="11" t="s">
        <v>2792</v>
      </c>
      <c r="Q12" s="11" t="s">
        <v>1523</v>
      </c>
      <c r="R12" s="11" t="s">
        <v>1524</v>
      </c>
      <c r="S12" s="9" t="s">
        <v>1261</v>
      </c>
      <c r="T12" s="11" t="s">
        <v>2793</v>
      </c>
      <c r="U12" s="11"/>
      <c r="V12" s="9" t="s">
        <v>789</v>
      </c>
      <c r="W12" s="11" t="s">
        <v>2794</v>
      </c>
    </row>
    <row r="13" customFormat="false" ht="133.5" hidden="false" customHeight="true" outlineLevel="0" collapsed="false">
      <c r="A13" s="11" t="n">
        <v>9</v>
      </c>
      <c r="B13" s="8" t="s">
        <v>520</v>
      </c>
      <c r="C13" s="11" t="s">
        <v>521</v>
      </c>
      <c r="D13" s="17" t="s">
        <v>1051</v>
      </c>
      <c r="E13" s="9" t="s">
        <v>1251</v>
      </c>
      <c r="F13" s="11" t="s">
        <v>516</v>
      </c>
      <c r="G13" s="11" t="s">
        <v>2795</v>
      </c>
      <c r="H13" s="11" t="s">
        <v>2796</v>
      </c>
      <c r="I13" s="11" t="s">
        <v>2797</v>
      </c>
      <c r="J13" s="11" t="s">
        <v>1050</v>
      </c>
      <c r="K13" s="9" t="s">
        <v>233</v>
      </c>
      <c r="L13" s="17" t="s">
        <v>1051</v>
      </c>
      <c r="M13" s="11" t="s">
        <v>233</v>
      </c>
      <c r="N13" s="11" t="s">
        <v>2791</v>
      </c>
      <c r="O13" s="11" t="s">
        <v>1637</v>
      </c>
      <c r="P13" s="11" t="s">
        <v>2798</v>
      </c>
      <c r="Q13" s="11" t="s">
        <v>1523</v>
      </c>
      <c r="R13" s="11" t="s">
        <v>1524</v>
      </c>
      <c r="S13" s="9" t="s">
        <v>1261</v>
      </c>
      <c r="T13" s="11" t="s">
        <v>2799</v>
      </c>
      <c r="U13" s="11"/>
      <c r="V13" s="9" t="s">
        <v>1052</v>
      </c>
      <c r="W13" s="11" t="s">
        <v>2800</v>
      </c>
    </row>
    <row r="14" customFormat="false" ht="72.75" hidden="false" customHeight="true" outlineLevel="0" collapsed="false">
      <c r="A14" s="11" t="n">
        <v>10</v>
      </c>
      <c r="B14" s="8" t="s">
        <v>522</v>
      </c>
      <c r="C14" s="11" t="s">
        <v>479</v>
      </c>
      <c r="D14" s="17" t="s">
        <v>1051</v>
      </c>
      <c r="E14" s="9" t="s">
        <v>1251</v>
      </c>
      <c r="F14" s="11" t="s">
        <v>516</v>
      </c>
      <c r="G14" s="11" t="s">
        <v>2801</v>
      </c>
      <c r="H14" s="11" t="s">
        <v>2802</v>
      </c>
      <c r="I14" s="11" t="s">
        <v>2803</v>
      </c>
      <c r="J14" s="11" t="s">
        <v>1053</v>
      </c>
      <c r="K14" s="9" t="s">
        <v>523</v>
      </c>
      <c r="L14" s="17" t="s">
        <v>1051</v>
      </c>
      <c r="M14" s="11" t="s">
        <v>2804</v>
      </c>
      <c r="N14" s="11" t="s">
        <v>2805</v>
      </c>
      <c r="O14" s="11" t="s">
        <v>1637</v>
      </c>
      <c r="P14" s="11" t="s">
        <v>2806</v>
      </c>
      <c r="Q14" s="11" t="s">
        <v>2807</v>
      </c>
      <c r="R14" s="11" t="s">
        <v>2808</v>
      </c>
      <c r="S14" s="9" t="s">
        <v>1310</v>
      </c>
      <c r="T14" s="11" t="s">
        <v>2809</v>
      </c>
      <c r="U14" s="11"/>
      <c r="V14" s="9" t="s">
        <v>786</v>
      </c>
      <c r="W14" s="11" t="s">
        <v>2810</v>
      </c>
    </row>
    <row r="15" customFormat="false" ht="72.75" hidden="false" customHeight="true" outlineLevel="0" collapsed="false">
      <c r="A15" s="11" t="n">
        <v>11</v>
      </c>
      <c r="B15" s="8" t="s">
        <v>524</v>
      </c>
      <c r="C15" s="11" t="s">
        <v>479</v>
      </c>
      <c r="D15" s="17" t="s">
        <v>2811</v>
      </c>
      <c r="E15" s="9" t="s">
        <v>1251</v>
      </c>
      <c r="F15" s="11" t="s">
        <v>525</v>
      </c>
      <c r="G15" s="11" t="s">
        <v>2812</v>
      </c>
      <c r="H15" s="11" t="s">
        <v>2813</v>
      </c>
      <c r="I15" s="11" t="s">
        <v>2814</v>
      </c>
      <c r="J15" s="11" t="s">
        <v>1054</v>
      </c>
      <c r="K15" s="9" t="s">
        <v>233</v>
      </c>
      <c r="L15" s="17" t="s">
        <v>1055</v>
      </c>
      <c r="M15" s="11" t="s">
        <v>2815</v>
      </c>
      <c r="N15" s="11" t="s">
        <v>2816</v>
      </c>
      <c r="O15" s="11" t="s">
        <v>2817</v>
      </c>
      <c r="P15" s="11" t="s">
        <v>2818</v>
      </c>
      <c r="Q15" s="11" t="s">
        <v>1523</v>
      </c>
      <c r="R15" s="11" t="s">
        <v>1524</v>
      </c>
      <c r="S15" s="9" t="s">
        <v>1261</v>
      </c>
      <c r="T15" s="11" t="s">
        <v>2819</v>
      </c>
      <c r="U15" s="11"/>
      <c r="V15" s="9" t="s">
        <v>789</v>
      </c>
      <c r="W15" s="11" t="s">
        <v>2820</v>
      </c>
    </row>
    <row r="16" customFormat="false" ht="146.25" hidden="false" customHeight="true" outlineLevel="0" collapsed="false">
      <c r="A16" s="11" t="n">
        <v>12</v>
      </c>
      <c r="B16" s="8" t="s">
        <v>526</v>
      </c>
      <c r="C16" s="11" t="s">
        <v>527</v>
      </c>
      <c r="D16" s="17" t="s">
        <v>2821</v>
      </c>
      <c r="E16" s="9" t="s">
        <v>1251</v>
      </c>
      <c r="F16" s="11" t="s">
        <v>516</v>
      </c>
      <c r="G16" s="11" t="s">
        <v>2822</v>
      </c>
      <c r="H16" s="11" t="s">
        <v>2823</v>
      </c>
      <c r="I16" s="11" t="s">
        <v>2824</v>
      </c>
      <c r="J16" s="11" t="s">
        <v>1050</v>
      </c>
      <c r="K16" s="9" t="s">
        <v>233</v>
      </c>
      <c r="L16" s="17" t="s">
        <v>1056</v>
      </c>
      <c r="M16" s="11" t="s">
        <v>2825</v>
      </c>
      <c r="N16" s="11" t="s">
        <v>2826</v>
      </c>
      <c r="O16" s="11" t="s">
        <v>1637</v>
      </c>
      <c r="P16" s="11" t="s">
        <v>2827</v>
      </c>
      <c r="Q16" s="11" t="s">
        <v>1523</v>
      </c>
      <c r="R16" s="11" t="s">
        <v>1524</v>
      </c>
      <c r="S16" s="9" t="s">
        <v>1261</v>
      </c>
      <c r="T16" s="11" t="s">
        <v>2828</v>
      </c>
      <c r="U16" s="11"/>
      <c r="V16" s="9" t="s">
        <v>789</v>
      </c>
      <c r="W16" s="11" t="s">
        <v>2829</v>
      </c>
    </row>
    <row r="17" customFormat="false" ht="109.5" hidden="false" customHeight="true" outlineLevel="0" collapsed="false">
      <c r="A17" s="11" t="n">
        <v>13</v>
      </c>
      <c r="B17" s="8" t="s">
        <v>528</v>
      </c>
      <c r="C17" s="11" t="s">
        <v>529</v>
      </c>
      <c r="D17" s="17" t="s">
        <v>1057</v>
      </c>
      <c r="E17" s="9" t="s">
        <v>1251</v>
      </c>
      <c r="F17" s="11" t="s">
        <v>516</v>
      </c>
      <c r="G17" s="11" t="s">
        <v>2795</v>
      </c>
      <c r="H17" s="11" t="s">
        <v>2830</v>
      </c>
      <c r="I17" s="11" t="s">
        <v>2831</v>
      </c>
      <c r="J17" s="11" t="s">
        <v>1050</v>
      </c>
      <c r="K17" s="9" t="s">
        <v>233</v>
      </c>
      <c r="L17" s="17" t="s">
        <v>1057</v>
      </c>
      <c r="M17" s="11" t="s">
        <v>2832</v>
      </c>
      <c r="N17" s="11" t="s">
        <v>2833</v>
      </c>
      <c r="O17" s="11" t="s">
        <v>1637</v>
      </c>
      <c r="P17" s="11" t="s">
        <v>2834</v>
      </c>
      <c r="Q17" s="11" t="s">
        <v>1523</v>
      </c>
      <c r="R17" s="11" t="s">
        <v>1524</v>
      </c>
      <c r="S17" s="9" t="s">
        <v>1261</v>
      </c>
      <c r="T17" s="11" t="s">
        <v>2835</v>
      </c>
      <c r="U17" s="11"/>
      <c r="V17" s="9" t="s">
        <v>789</v>
      </c>
      <c r="W17" s="11" t="s">
        <v>2836</v>
      </c>
    </row>
    <row r="18" customFormat="false" ht="84.75" hidden="false" customHeight="true" outlineLevel="0" collapsed="false">
      <c r="A18" s="11" t="n">
        <v>14</v>
      </c>
      <c r="B18" s="8" t="s">
        <v>530</v>
      </c>
      <c r="C18" s="11" t="s">
        <v>531</v>
      </c>
      <c r="D18" s="17" t="s">
        <v>1059</v>
      </c>
      <c r="E18" s="9" t="s">
        <v>1276</v>
      </c>
      <c r="F18" s="11" t="s">
        <v>183</v>
      </c>
      <c r="G18" s="11" t="s">
        <v>2837</v>
      </c>
      <c r="H18" s="11" t="s">
        <v>2838</v>
      </c>
      <c r="I18" s="11" t="s">
        <v>2839</v>
      </c>
      <c r="J18" s="11" t="s">
        <v>1058</v>
      </c>
      <c r="K18" s="9" t="s">
        <v>532</v>
      </c>
      <c r="L18" s="17" t="s">
        <v>1059</v>
      </c>
      <c r="M18" s="11" t="s">
        <v>2840</v>
      </c>
      <c r="N18" s="11" t="s">
        <v>2841</v>
      </c>
      <c r="O18" s="11" t="s">
        <v>1637</v>
      </c>
      <c r="P18" s="11" t="s">
        <v>2842</v>
      </c>
      <c r="Q18" s="11" t="s">
        <v>2843</v>
      </c>
      <c r="R18" s="11" t="s">
        <v>1273</v>
      </c>
      <c r="S18" s="9" t="s">
        <v>233</v>
      </c>
      <c r="T18" s="11" t="s">
        <v>2844</v>
      </c>
      <c r="U18" s="11"/>
      <c r="V18" s="9" t="s">
        <v>781</v>
      </c>
      <c r="W18" s="11" t="s">
        <v>2845</v>
      </c>
    </row>
    <row r="19" customFormat="false" ht="84.75" hidden="false" customHeight="true" outlineLevel="0" collapsed="false">
      <c r="A19" s="11" t="n">
        <v>15</v>
      </c>
      <c r="B19" s="8" t="s">
        <v>533</v>
      </c>
      <c r="C19" s="11" t="s">
        <v>534</v>
      </c>
      <c r="D19" s="17" t="s">
        <v>1061</v>
      </c>
      <c r="E19" s="9" t="s">
        <v>1276</v>
      </c>
      <c r="F19" s="11" t="s">
        <v>516</v>
      </c>
      <c r="G19" s="11" t="s">
        <v>2795</v>
      </c>
      <c r="H19" s="11" t="s">
        <v>2846</v>
      </c>
      <c r="I19" s="11" t="s">
        <v>2847</v>
      </c>
      <c r="J19" s="11" t="s">
        <v>1060</v>
      </c>
      <c r="K19" s="9" t="s">
        <v>233</v>
      </c>
      <c r="L19" s="17" t="s">
        <v>1061</v>
      </c>
      <c r="M19" s="11" t="s">
        <v>2848</v>
      </c>
      <c r="N19" s="11" t="s">
        <v>2791</v>
      </c>
      <c r="O19" s="11" t="s">
        <v>1637</v>
      </c>
      <c r="P19" s="11" t="s">
        <v>2849</v>
      </c>
      <c r="Q19" s="11" t="s">
        <v>1523</v>
      </c>
      <c r="R19" s="11" t="s">
        <v>1524</v>
      </c>
      <c r="S19" s="9" t="s">
        <v>1261</v>
      </c>
      <c r="T19" s="11" t="s">
        <v>2850</v>
      </c>
      <c r="U19" s="11"/>
      <c r="V19" s="9" t="s">
        <v>781</v>
      </c>
      <c r="W19" s="11" t="s">
        <v>2851</v>
      </c>
    </row>
    <row r="20" customFormat="false" ht="72.75" hidden="false" customHeight="true" outlineLevel="0" collapsed="false">
      <c r="A20" s="11" t="n">
        <v>16</v>
      </c>
      <c r="B20" s="8" t="s">
        <v>535</v>
      </c>
      <c r="C20" s="11" t="s">
        <v>536</v>
      </c>
      <c r="D20" s="17" t="s">
        <v>1062</v>
      </c>
      <c r="E20" s="9" t="s">
        <v>1251</v>
      </c>
      <c r="F20" s="11" t="s">
        <v>516</v>
      </c>
      <c r="G20" s="11" t="s">
        <v>2795</v>
      </c>
      <c r="H20" s="11" t="s">
        <v>2852</v>
      </c>
      <c r="I20" s="11" t="s">
        <v>2853</v>
      </c>
      <c r="J20" s="11" t="s">
        <v>1050</v>
      </c>
      <c r="K20" s="9" t="s">
        <v>233</v>
      </c>
      <c r="L20" s="17" t="s">
        <v>1062</v>
      </c>
      <c r="M20" s="11" t="s">
        <v>2854</v>
      </c>
      <c r="N20" s="11" t="s">
        <v>2855</v>
      </c>
      <c r="O20" s="11" t="s">
        <v>1637</v>
      </c>
      <c r="P20" s="11" t="s">
        <v>2856</v>
      </c>
      <c r="Q20" s="11" t="s">
        <v>1523</v>
      </c>
      <c r="R20" s="11" t="s">
        <v>1524</v>
      </c>
      <c r="S20" s="9" t="s">
        <v>1261</v>
      </c>
      <c r="T20" s="11" t="s">
        <v>2857</v>
      </c>
      <c r="U20" s="11"/>
      <c r="V20" s="9" t="s">
        <v>789</v>
      </c>
      <c r="W20" s="11" t="s">
        <v>2858</v>
      </c>
    </row>
    <row r="21" customFormat="false" ht="84.75" hidden="false" customHeight="true" outlineLevel="0" collapsed="false">
      <c r="A21" s="11" t="n">
        <v>17</v>
      </c>
      <c r="B21" s="8" t="s">
        <v>537</v>
      </c>
      <c r="C21" s="11" t="s">
        <v>538</v>
      </c>
      <c r="D21" s="17" t="s">
        <v>1063</v>
      </c>
      <c r="E21" s="9" t="s">
        <v>1251</v>
      </c>
      <c r="F21" s="11" t="s">
        <v>539</v>
      </c>
      <c r="G21" s="11" t="s">
        <v>2859</v>
      </c>
      <c r="H21" s="11" t="s">
        <v>2860</v>
      </c>
      <c r="I21" s="11" t="s">
        <v>2861</v>
      </c>
      <c r="J21" s="11" t="s">
        <v>233</v>
      </c>
      <c r="K21" s="9" t="s">
        <v>233</v>
      </c>
      <c r="L21" s="17" t="s">
        <v>1063</v>
      </c>
      <c r="M21" s="11" t="s">
        <v>2862</v>
      </c>
      <c r="N21" s="11" t="s">
        <v>2863</v>
      </c>
      <c r="O21" s="11" t="s">
        <v>1637</v>
      </c>
      <c r="P21" s="11" t="s">
        <v>2864</v>
      </c>
      <c r="Q21" s="11" t="s">
        <v>1523</v>
      </c>
      <c r="R21" s="11" t="s">
        <v>2865</v>
      </c>
      <c r="S21" s="9" t="s">
        <v>1261</v>
      </c>
      <c r="T21" s="11" t="s">
        <v>2866</v>
      </c>
      <c r="U21" s="11" t="s">
        <v>2867</v>
      </c>
      <c r="V21" s="9" t="s">
        <v>789</v>
      </c>
      <c r="W21" s="11" t="s">
        <v>2868</v>
      </c>
    </row>
    <row r="22" customFormat="false" ht="97.5" hidden="false" customHeight="true" outlineLevel="0" collapsed="false">
      <c r="A22" s="11" t="n">
        <v>18</v>
      </c>
      <c r="B22" s="8" t="s">
        <v>540</v>
      </c>
      <c r="C22" s="11" t="s">
        <v>541</v>
      </c>
      <c r="D22" s="17" t="s">
        <v>2869</v>
      </c>
      <c r="E22" s="9" t="s">
        <v>1251</v>
      </c>
      <c r="F22" s="11" t="s">
        <v>516</v>
      </c>
      <c r="G22" s="11" t="s">
        <v>2795</v>
      </c>
      <c r="H22" s="11" t="s">
        <v>2870</v>
      </c>
      <c r="I22" s="11" t="s">
        <v>2871</v>
      </c>
      <c r="J22" s="11" t="s">
        <v>1050</v>
      </c>
      <c r="K22" s="9" t="s">
        <v>233</v>
      </c>
      <c r="L22" s="17" t="s">
        <v>1064</v>
      </c>
      <c r="M22" s="11" t="s">
        <v>2872</v>
      </c>
      <c r="N22" s="11" t="s">
        <v>2873</v>
      </c>
      <c r="O22" s="11" t="s">
        <v>1637</v>
      </c>
      <c r="P22" s="11" t="s">
        <v>2874</v>
      </c>
      <c r="Q22" s="11" t="s">
        <v>1523</v>
      </c>
      <c r="R22" s="11" t="s">
        <v>1524</v>
      </c>
      <c r="S22" s="9" t="s">
        <v>1261</v>
      </c>
      <c r="T22" s="11" t="s">
        <v>2875</v>
      </c>
      <c r="U22" s="11"/>
      <c r="V22" s="9" t="s">
        <v>781</v>
      </c>
      <c r="W22" s="11" t="s">
        <v>2876</v>
      </c>
    </row>
    <row r="23" customFormat="false" ht="133.5" hidden="false" customHeight="true" outlineLevel="0" collapsed="false">
      <c r="A23" s="11" t="n">
        <v>19</v>
      </c>
      <c r="B23" s="8" t="s">
        <v>542</v>
      </c>
      <c r="C23" s="11" t="s">
        <v>543</v>
      </c>
      <c r="D23" s="17" t="s">
        <v>2877</v>
      </c>
      <c r="E23" s="9" t="s">
        <v>1276</v>
      </c>
      <c r="F23" s="11" t="s">
        <v>183</v>
      </c>
      <c r="G23" s="11" t="s">
        <v>2878</v>
      </c>
      <c r="H23" s="11" t="s">
        <v>2879</v>
      </c>
      <c r="I23" s="11" t="s">
        <v>2880</v>
      </c>
      <c r="J23" s="11" t="s">
        <v>1065</v>
      </c>
      <c r="K23" s="9" t="s">
        <v>544</v>
      </c>
      <c r="L23" s="17" t="s">
        <v>1066</v>
      </c>
      <c r="M23" s="11" t="s">
        <v>2881</v>
      </c>
      <c r="N23" s="11" t="s">
        <v>1636</v>
      </c>
      <c r="O23" s="11" t="s">
        <v>1637</v>
      </c>
      <c r="P23" s="11" t="s">
        <v>2882</v>
      </c>
      <c r="Q23" s="11" t="s">
        <v>2883</v>
      </c>
      <c r="R23" s="11" t="s">
        <v>1273</v>
      </c>
      <c r="S23" s="9" t="s">
        <v>1296</v>
      </c>
      <c r="T23" s="11" t="s">
        <v>2884</v>
      </c>
      <c r="U23" s="11" t="s">
        <v>2885</v>
      </c>
      <c r="V23" s="9" t="s">
        <v>789</v>
      </c>
      <c r="W23" s="11" t="s">
        <v>2886</v>
      </c>
    </row>
    <row r="24" customFormat="false" ht="219" hidden="false" customHeight="true" outlineLevel="0" collapsed="false">
      <c r="A24" s="11" t="n">
        <v>20</v>
      </c>
      <c r="B24" s="8" t="s">
        <v>545</v>
      </c>
      <c r="C24" s="11" t="s">
        <v>546</v>
      </c>
      <c r="D24" s="17" t="s">
        <v>2887</v>
      </c>
      <c r="E24" s="9" t="s">
        <v>1251</v>
      </c>
      <c r="F24" s="11" t="s">
        <v>183</v>
      </c>
      <c r="G24" s="11" t="s">
        <v>2888</v>
      </c>
      <c r="H24" s="11" t="s">
        <v>2889</v>
      </c>
      <c r="I24" s="11" t="s">
        <v>2890</v>
      </c>
      <c r="J24" s="11" t="s">
        <v>1067</v>
      </c>
      <c r="K24" s="9" t="s">
        <v>547</v>
      </c>
      <c r="L24" s="17" t="s">
        <v>1068</v>
      </c>
      <c r="M24" s="11" t="s">
        <v>2891</v>
      </c>
      <c r="N24" s="11" t="s">
        <v>2892</v>
      </c>
      <c r="O24" s="11" t="s">
        <v>2893</v>
      </c>
      <c r="P24" s="11" t="s">
        <v>2894</v>
      </c>
      <c r="Q24" s="11" t="s">
        <v>2895</v>
      </c>
      <c r="R24" s="11" t="s">
        <v>2896</v>
      </c>
      <c r="S24" s="9" t="s">
        <v>1296</v>
      </c>
      <c r="T24" s="11" t="s">
        <v>2897</v>
      </c>
      <c r="U24" s="11" t="s">
        <v>2898</v>
      </c>
      <c r="V24" s="9" t="s">
        <v>789</v>
      </c>
      <c r="W24" s="11" t="s">
        <v>2899</v>
      </c>
    </row>
    <row r="25" customFormat="false" ht="72.75" hidden="false" customHeight="true" outlineLevel="0" collapsed="false">
      <c r="A25" s="11" t="n">
        <v>21</v>
      </c>
      <c r="B25" s="8" t="s">
        <v>548</v>
      </c>
      <c r="C25" s="11" t="s">
        <v>549</v>
      </c>
      <c r="D25" s="17" t="s">
        <v>1070</v>
      </c>
      <c r="E25" s="9" t="s">
        <v>1251</v>
      </c>
      <c r="F25" s="11" t="s">
        <v>183</v>
      </c>
      <c r="G25" s="11" t="s">
        <v>2900</v>
      </c>
      <c r="H25" s="11" t="s">
        <v>2901</v>
      </c>
      <c r="I25" s="11" t="s">
        <v>2902</v>
      </c>
      <c r="J25" s="11" t="s">
        <v>1069</v>
      </c>
      <c r="K25" s="9" t="s">
        <v>550</v>
      </c>
      <c r="L25" s="17" t="s">
        <v>1070</v>
      </c>
      <c r="M25" s="11" t="s">
        <v>2903</v>
      </c>
      <c r="N25" s="11" t="s">
        <v>2904</v>
      </c>
      <c r="O25" s="11" t="s">
        <v>1637</v>
      </c>
      <c r="P25" s="11" t="s">
        <v>2905</v>
      </c>
      <c r="Q25" s="11" t="s">
        <v>2906</v>
      </c>
      <c r="R25" s="11" t="s">
        <v>1273</v>
      </c>
      <c r="S25" s="9" t="s">
        <v>233</v>
      </c>
      <c r="T25" s="11" t="s">
        <v>2907</v>
      </c>
      <c r="U25" s="11"/>
      <c r="V25" s="9" t="s">
        <v>789</v>
      </c>
      <c r="W25" s="11" t="s">
        <v>2908</v>
      </c>
    </row>
    <row r="26" customFormat="false" ht="84.75" hidden="false" customHeight="true" outlineLevel="0" collapsed="false">
      <c r="A26" s="11" t="n">
        <v>22</v>
      </c>
      <c r="B26" s="8" t="s">
        <v>551</v>
      </c>
      <c r="C26" s="11" t="s">
        <v>552</v>
      </c>
      <c r="D26" s="17" t="s">
        <v>1072</v>
      </c>
      <c r="E26" s="9" t="s">
        <v>1276</v>
      </c>
      <c r="F26" s="11" t="s">
        <v>183</v>
      </c>
      <c r="G26" s="11" t="s">
        <v>1421</v>
      </c>
      <c r="H26" s="11" t="s">
        <v>2909</v>
      </c>
      <c r="I26" s="11" t="s">
        <v>2910</v>
      </c>
      <c r="J26" s="11" t="s">
        <v>1071</v>
      </c>
      <c r="K26" s="9" t="s">
        <v>181</v>
      </c>
      <c r="L26" s="17" t="s">
        <v>1072</v>
      </c>
      <c r="M26" s="11" t="s">
        <v>2911</v>
      </c>
      <c r="N26" s="11" t="s">
        <v>2912</v>
      </c>
      <c r="O26" s="11" t="s">
        <v>2913</v>
      </c>
      <c r="P26" s="11" t="s">
        <v>2914</v>
      </c>
      <c r="Q26" s="11" t="s">
        <v>2915</v>
      </c>
      <c r="R26" s="11" t="s">
        <v>1273</v>
      </c>
      <c r="S26" s="9" t="s">
        <v>233</v>
      </c>
      <c r="T26" s="11" t="s">
        <v>2916</v>
      </c>
      <c r="U26" s="11"/>
      <c r="V26" s="9" t="s">
        <v>781</v>
      </c>
      <c r="W26" s="11" t="s">
        <v>2917</v>
      </c>
    </row>
    <row r="27" customFormat="false" ht="84.75" hidden="false" customHeight="true" outlineLevel="0" collapsed="false">
      <c r="A27" s="11" t="n">
        <v>23</v>
      </c>
      <c r="B27" s="8" t="s">
        <v>553</v>
      </c>
      <c r="C27" s="11" t="s">
        <v>554</v>
      </c>
      <c r="D27" s="17" t="s">
        <v>1074</v>
      </c>
      <c r="E27" s="9" t="s">
        <v>1251</v>
      </c>
      <c r="F27" s="11" t="s">
        <v>516</v>
      </c>
      <c r="G27" s="11" t="s">
        <v>2918</v>
      </c>
      <c r="H27" s="11" t="s">
        <v>2919</v>
      </c>
      <c r="I27" s="11" t="s">
        <v>2920</v>
      </c>
      <c r="J27" s="11" t="s">
        <v>1073</v>
      </c>
      <c r="K27" s="9" t="s">
        <v>233</v>
      </c>
      <c r="L27" s="17" t="s">
        <v>1074</v>
      </c>
      <c r="M27" s="11" t="s">
        <v>233</v>
      </c>
      <c r="N27" s="11" t="s">
        <v>2921</v>
      </c>
      <c r="O27" s="11" t="s">
        <v>1637</v>
      </c>
      <c r="P27" s="11" t="s">
        <v>2922</v>
      </c>
      <c r="Q27" s="11" t="s">
        <v>2923</v>
      </c>
      <c r="R27" s="11" t="s">
        <v>2924</v>
      </c>
      <c r="S27" s="9" t="s">
        <v>1296</v>
      </c>
      <c r="T27" s="11" t="s">
        <v>2925</v>
      </c>
      <c r="U27" s="11"/>
      <c r="V27" s="9" t="s">
        <v>789</v>
      </c>
      <c r="W27" s="11" t="s">
        <v>2926</v>
      </c>
    </row>
    <row r="28" customFormat="false" ht="133.5" hidden="false" customHeight="true" outlineLevel="0" collapsed="false">
      <c r="A28" s="11" t="n">
        <v>24</v>
      </c>
      <c r="B28" s="8" t="s">
        <v>555</v>
      </c>
      <c r="C28" s="11" t="s">
        <v>556</v>
      </c>
      <c r="D28" s="17" t="s">
        <v>2927</v>
      </c>
      <c r="E28" s="9" t="s">
        <v>1251</v>
      </c>
      <c r="F28" s="11" t="s">
        <v>557</v>
      </c>
      <c r="G28" s="11" t="s">
        <v>2928</v>
      </c>
      <c r="H28" s="11" t="s">
        <v>2929</v>
      </c>
      <c r="I28" s="11" t="s">
        <v>2930</v>
      </c>
      <c r="J28" s="11" t="s">
        <v>1075</v>
      </c>
      <c r="K28" s="9" t="s">
        <v>181</v>
      </c>
      <c r="L28" s="17" t="s">
        <v>1076</v>
      </c>
      <c r="M28" s="11" t="s">
        <v>2931</v>
      </c>
      <c r="N28" s="11" t="s">
        <v>2932</v>
      </c>
      <c r="O28" s="11" t="s">
        <v>2933</v>
      </c>
      <c r="P28" s="11" t="s">
        <v>2934</v>
      </c>
      <c r="Q28" s="11" t="s">
        <v>2935</v>
      </c>
      <c r="R28" s="11" t="s">
        <v>1273</v>
      </c>
      <c r="S28" s="9" t="s">
        <v>1296</v>
      </c>
      <c r="T28" s="11" t="s">
        <v>2936</v>
      </c>
      <c r="U28" s="11" t="s">
        <v>2937</v>
      </c>
      <c r="V28" s="9" t="s">
        <v>789</v>
      </c>
      <c r="W28" s="11" t="s">
        <v>2938</v>
      </c>
    </row>
    <row r="29" customFormat="false" ht="109.5" hidden="false" customHeight="true" outlineLevel="0" collapsed="false">
      <c r="A29" s="11" t="n">
        <v>25</v>
      </c>
      <c r="B29" s="8" t="s">
        <v>558</v>
      </c>
      <c r="C29" s="11" t="s">
        <v>559</v>
      </c>
      <c r="D29" s="17" t="s">
        <v>2939</v>
      </c>
      <c r="E29" s="9" t="s">
        <v>1251</v>
      </c>
      <c r="F29" s="11" t="s">
        <v>183</v>
      </c>
      <c r="G29" s="11" t="s">
        <v>2940</v>
      </c>
      <c r="H29" s="11" t="s">
        <v>2941</v>
      </c>
      <c r="I29" s="11" t="s">
        <v>2942</v>
      </c>
      <c r="J29" s="11" t="s">
        <v>1077</v>
      </c>
      <c r="K29" s="9" t="s">
        <v>560</v>
      </c>
      <c r="L29" s="17" t="s">
        <v>1078</v>
      </c>
      <c r="M29" s="11" t="s">
        <v>2943</v>
      </c>
      <c r="N29" s="11" t="s">
        <v>2944</v>
      </c>
      <c r="O29" s="11" t="s">
        <v>2945</v>
      </c>
      <c r="P29" s="11" t="s">
        <v>2946</v>
      </c>
      <c r="Q29" s="11" t="s">
        <v>2947</v>
      </c>
      <c r="R29" s="11" t="s">
        <v>2948</v>
      </c>
      <c r="S29" s="9" t="s">
        <v>1296</v>
      </c>
      <c r="T29" s="11" t="s">
        <v>2949</v>
      </c>
      <c r="U29" s="11" t="s">
        <v>2950</v>
      </c>
      <c r="V29" s="9" t="s">
        <v>789</v>
      </c>
      <c r="W29" s="11" t="s">
        <v>2951</v>
      </c>
    </row>
    <row r="30" customFormat="false" ht="60.75" hidden="false" customHeight="true" outlineLevel="0" collapsed="false">
      <c r="A30" s="11" t="n">
        <v>26</v>
      </c>
      <c r="B30" s="8" t="s">
        <v>561</v>
      </c>
      <c r="C30" s="11" t="s">
        <v>562</v>
      </c>
      <c r="D30" s="17" t="s">
        <v>1080</v>
      </c>
      <c r="E30" s="9" t="s">
        <v>1251</v>
      </c>
      <c r="F30" s="11" t="s">
        <v>512</v>
      </c>
      <c r="G30" s="11" t="s">
        <v>2952</v>
      </c>
      <c r="H30" s="11" t="s">
        <v>2953</v>
      </c>
      <c r="I30" s="11" t="s">
        <v>2954</v>
      </c>
      <c r="J30" s="11" t="s">
        <v>1079</v>
      </c>
      <c r="K30" s="9" t="s">
        <v>563</v>
      </c>
      <c r="L30" s="17" t="s">
        <v>1080</v>
      </c>
      <c r="M30" s="11" t="s">
        <v>2955</v>
      </c>
      <c r="N30" s="11" t="s">
        <v>2956</v>
      </c>
      <c r="O30" s="11" t="s">
        <v>2957</v>
      </c>
      <c r="P30" s="11" t="s">
        <v>2958</v>
      </c>
      <c r="Q30" s="11" t="s">
        <v>2959</v>
      </c>
      <c r="R30" s="11" t="s">
        <v>1273</v>
      </c>
      <c r="S30" s="9" t="s">
        <v>233</v>
      </c>
      <c r="T30" s="11" t="s">
        <v>2960</v>
      </c>
      <c r="U30" s="11"/>
      <c r="V30" s="9" t="s">
        <v>789</v>
      </c>
      <c r="W30" s="11" t="s">
        <v>1080</v>
      </c>
    </row>
    <row r="31" customFormat="false" ht="72.75" hidden="false" customHeight="true" outlineLevel="0" collapsed="false">
      <c r="A31" s="11" t="n">
        <v>27</v>
      </c>
      <c r="B31" s="8" t="s">
        <v>564</v>
      </c>
      <c r="C31" s="11" t="s">
        <v>565</v>
      </c>
      <c r="D31" s="17" t="s">
        <v>1082</v>
      </c>
      <c r="E31" s="9" t="s">
        <v>1251</v>
      </c>
      <c r="F31" s="11" t="s">
        <v>183</v>
      </c>
      <c r="G31" s="11" t="s">
        <v>1421</v>
      </c>
      <c r="H31" s="11" t="s">
        <v>2961</v>
      </c>
      <c r="I31" s="11" t="s">
        <v>2962</v>
      </c>
      <c r="J31" s="11" t="s">
        <v>1081</v>
      </c>
      <c r="K31" s="9" t="s">
        <v>233</v>
      </c>
      <c r="L31" s="17" t="s">
        <v>1082</v>
      </c>
      <c r="M31" s="11" t="s">
        <v>2963</v>
      </c>
      <c r="N31" s="11" t="s">
        <v>1273</v>
      </c>
      <c r="O31" s="11" t="s">
        <v>1637</v>
      </c>
      <c r="P31" s="11" t="s">
        <v>2964</v>
      </c>
      <c r="Q31" s="11" t="s">
        <v>2906</v>
      </c>
      <c r="R31" s="11" t="s">
        <v>1273</v>
      </c>
      <c r="S31" s="9" t="s">
        <v>233</v>
      </c>
      <c r="T31" s="11" t="s">
        <v>2965</v>
      </c>
      <c r="U31" s="11"/>
      <c r="V31" s="9" t="s">
        <v>786</v>
      </c>
      <c r="W31" s="11" t="s">
        <v>2966</v>
      </c>
    </row>
    <row r="32" customFormat="false" ht="72.75" hidden="false" customHeight="true" outlineLevel="0" collapsed="false">
      <c r="A32" s="11" t="n">
        <v>28</v>
      </c>
      <c r="B32" s="8" t="s">
        <v>566</v>
      </c>
      <c r="C32" s="11" t="s">
        <v>567</v>
      </c>
      <c r="D32" s="17" t="s">
        <v>1083</v>
      </c>
      <c r="E32" s="9" t="s">
        <v>1251</v>
      </c>
      <c r="F32" s="11" t="s">
        <v>323</v>
      </c>
      <c r="G32" s="11" t="s">
        <v>2967</v>
      </c>
      <c r="H32" s="11" t="s">
        <v>2968</v>
      </c>
      <c r="I32" s="11" t="s">
        <v>2969</v>
      </c>
      <c r="J32" s="11" t="s">
        <v>233</v>
      </c>
      <c r="K32" s="9" t="s">
        <v>233</v>
      </c>
      <c r="L32" s="17" t="s">
        <v>1083</v>
      </c>
      <c r="M32" s="11" t="s">
        <v>2970</v>
      </c>
      <c r="N32" s="11" t="s">
        <v>2971</v>
      </c>
      <c r="O32" s="11" t="s">
        <v>1637</v>
      </c>
      <c r="P32" s="11" t="s">
        <v>2972</v>
      </c>
      <c r="Q32" s="11" t="s">
        <v>1523</v>
      </c>
      <c r="R32" s="11" t="s">
        <v>1524</v>
      </c>
      <c r="S32" s="9" t="s">
        <v>1261</v>
      </c>
      <c r="T32" s="11" t="s">
        <v>2973</v>
      </c>
      <c r="U32" s="11"/>
      <c r="V32" s="9" t="s">
        <v>789</v>
      </c>
      <c r="W32" s="11" t="s">
        <v>2974</v>
      </c>
    </row>
    <row r="33" customFormat="false" ht="121.5" hidden="false" customHeight="true" outlineLevel="0" collapsed="false">
      <c r="A33" s="11" t="n">
        <v>29</v>
      </c>
      <c r="B33" s="8" t="s">
        <v>568</v>
      </c>
      <c r="C33" s="11" t="s">
        <v>569</v>
      </c>
      <c r="D33" s="17" t="s">
        <v>1085</v>
      </c>
      <c r="E33" s="9" t="s">
        <v>1251</v>
      </c>
      <c r="F33" s="11" t="s">
        <v>467</v>
      </c>
      <c r="G33" s="11" t="s">
        <v>2975</v>
      </c>
      <c r="H33" s="11" t="s">
        <v>2976</v>
      </c>
      <c r="I33" s="11" t="s">
        <v>2977</v>
      </c>
      <c r="J33" s="11" t="s">
        <v>1084</v>
      </c>
      <c r="K33" s="9" t="s">
        <v>570</v>
      </c>
      <c r="L33" s="17" t="s">
        <v>1085</v>
      </c>
      <c r="M33" s="11" t="s">
        <v>2978</v>
      </c>
      <c r="N33" s="11" t="s">
        <v>2979</v>
      </c>
      <c r="O33" s="11" t="s">
        <v>1637</v>
      </c>
      <c r="P33" s="11" t="s">
        <v>2980</v>
      </c>
      <c r="Q33" s="11" t="s">
        <v>1523</v>
      </c>
      <c r="R33" s="11" t="s">
        <v>1524</v>
      </c>
      <c r="S33" s="9" t="s">
        <v>1261</v>
      </c>
      <c r="T33" s="11" t="s">
        <v>2981</v>
      </c>
      <c r="U33" s="11"/>
      <c r="V33" s="9" t="s">
        <v>789</v>
      </c>
      <c r="W33" s="11" t="s">
        <v>2982</v>
      </c>
    </row>
    <row r="34" customFormat="false" ht="72.75" hidden="false" customHeight="true" outlineLevel="0" collapsed="false">
      <c r="A34" s="11" t="n">
        <v>30</v>
      </c>
      <c r="B34" s="8" t="s">
        <v>571</v>
      </c>
      <c r="C34" s="11" t="s">
        <v>572</v>
      </c>
      <c r="D34" s="17" t="s">
        <v>2983</v>
      </c>
      <c r="E34" s="9" t="s">
        <v>1251</v>
      </c>
      <c r="F34" s="11" t="s">
        <v>323</v>
      </c>
      <c r="G34" s="11" t="s">
        <v>2984</v>
      </c>
      <c r="H34" s="11" t="s">
        <v>2985</v>
      </c>
      <c r="I34" s="11" t="s">
        <v>2986</v>
      </c>
      <c r="J34" s="11" t="s">
        <v>1086</v>
      </c>
      <c r="K34" s="9" t="s">
        <v>233</v>
      </c>
      <c r="L34" s="17" t="s">
        <v>1087</v>
      </c>
      <c r="M34" s="11" t="s">
        <v>2987</v>
      </c>
      <c r="N34" s="11" t="s">
        <v>2988</v>
      </c>
      <c r="O34" s="11" t="s">
        <v>2989</v>
      </c>
      <c r="P34" s="11" t="s">
        <v>2990</v>
      </c>
      <c r="Q34" s="11" t="s">
        <v>1523</v>
      </c>
      <c r="R34" s="11" t="s">
        <v>1524</v>
      </c>
      <c r="S34" s="9" t="s">
        <v>1261</v>
      </c>
      <c r="T34" s="11" t="s">
        <v>2991</v>
      </c>
      <c r="U34" s="11"/>
      <c r="V34" s="9" t="s">
        <v>789</v>
      </c>
      <c r="W34" s="11" t="s">
        <v>2992</v>
      </c>
    </row>
    <row r="35" customFormat="false" ht="133.5" hidden="false" customHeight="true" outlineLevel="0" collapsed="false">
      <c r="A35" s="11" t="n">
        <v>31</v>
      </c>
      <c r="B35" s="8" t="s">
        <v>573</v>
      </c>
      <c r="C35" s="11" t="s">
        <v>574</v>
      </c>
      <c r="D35" s="17" t="s">
        <v>1089</v>
      </c>
      <c r="E35" s="9" t="s">
        <v>1276</v>
      </c>
      <c r="F35" s="11" t="s">
        <v>323</v>
      </c>
      <c r="G35" s="11" t="s">
        <v>2993</v>
      </c>
      <c r="H35" s="11" t="s">
        <v>2994</v>
      </c>
      <c r="I35" s="11" t="s">
        <v>2995</v>
      </c>
      <c r="J35" s="11" t="s">
        <v>1088</v>
      </c>
      <c r="K35" s="9" t="s">
        <v>575</v>
      </c>
      <c r="L35" s="17" t="s">
        <v>1089</v>
      </c>
      <c r="M35" s="11" t="s">
        <v>2996</v>
      </c>
      <c r="N35" s="11" t="s">
        <v>2997</v>
      </c>
      <c r="O35" s="11" t="s">
        <v>1270</v>
      </c>
      <c r="P35" s="11" t="s">
        <v>2998</v>
      </c>
      <c r="Q35" s="11" t="s">
        <v>2653</v>
      </c>
      <c r="R35" s="11" t="s">
        <v>2999</v>
      </c>
      <c r="S35" s="9" t="s">
        <v>1261</v>
      </c>
      <c r="T35" s="11" t="s">
        <v>3000</v>
      </c>
      <c r="U35" s="11" t="s">
        <v>3001</v>
      </c>
      <c r="V35" s="9" t="s">
        <v>789</v>
      </c>
      <c r="W35" s="11" t="s">
        <v>3002</v>
      </c>
    </row>
    <row r="36" customFormat="false" ht="121.5" hidden="false" customHeight="true" outlineLevel="0" collapsed="false">
      <c r="A36" s="11" t="n">
        <v>32</v>
      </c>
      <c r="B36" s="8" t="s">
        <v>576</v>
      </c>
      <c r="C36" s="11" t="s">
        <v>577</v>
      </c>
      <c r="D36" s="17" t="s">
        <v>3003</v>
      </c>
      <c r="E36" s="9" t="s">
        <v>1276</v>
      </c>
      <c r="F36" s="11" t="s">
        <v>467</v>
      </c>
      <c r="G36" s="11" t="s">
        <v>3004</v>
      </c>
      <c r="H36" s="11" t="s">
        <v>3005</v>
      </c>
      <c r="I36" s="11" t="s">
        <v>3006</v>
      </c>
      <c r="J36" s="11" t="s">
        <v>1090</v>
      </c>
      <c r="K36" s="9" t="s">
        <v>578</v>
      </c>
      <c r="L36" s="17" t="s">
        <v>1091</v>
      </c>
      <c r="M36" s="11" t="s">
        <v>3007</v>
      </c>
      <c r="N36" s="11" t="s">
        <v>3008</v>
      </c>
      <c r="O36" s="11" t="s">
        <v>3009</v>
      </c>
      <c r="P36" s="11" t="s">
        <v>3010</v>
      </c>
      <c r="Q36" s="11" t="s">
        <v>3011</v>
      </c>
      <c r="R36" s="11" t="s">
        <v>3012</v>
      </c>
      <c r="S36" s="9" t="s">
        <v>1261</v>
      </c>
      <c r="T36" s="11" t="s">
        <v>3013</v>
      </c>
      <c r="U36" s="11" t="s">
        <v>3014</v>
      </c>
      <c r="V36" s="9" t="s">
        <v>789</v>
      </c>
      <c r="W36" s="11" t="s">
        <v>3015</v>
      </c>
    </row>
    <row r="37" customFormat="false" ht="158.25" hidden="false" customHeight="true" outlineLevel="0" collapsed="false">
      <c r="A37" s="11" t="n">
        <v>33</v>
      </c>
      <c r="B37" s="8" t="s">
        <v>579</v>
      </c>
      <c r="C37" s="11" t="s">
        <v>580</v>
      </c>
      <c r="D37" s="17" t="s">
        <v>1056</v>
      </c>
      <c r="E37" s="9" t="s">
        <v>1251</v>
      </c>
      <c r="F37" s="11" t="s">
        <v>397</v>
      </c>
      <c r="G37" s="11" t="s">
        <v>3016</v>
      </c>
      <c r="H37" s="11" t="s">
        <v>3017</v>
      </c>
      <c r="I37" s="11" t="s">
        <v>3018</v>
      </c>
      <c r="J37" s="11" t="s">
        <v>1092</v>
      </c>
      <c r="K37" s="9" t="s">
        <v>581</v>
      </c>
      <c r="L37" s="17" t="s">
        <v>1056</v>
      </c>
      <c r="M37" s="11" t="s">
        <v>3019</v>
      </c>
      <c r="N37" s="11" t="s">
        <v>3020</v>
      </c>
      <c r="O37" s="11" t="s">
        <v>1637</v>
      </c>
      <c r="P37" s="11" t="s">
        <v>3021</v>
      </c>
      <c r="Q37" s="11" t="s">
        <v>3022</v>
      </c>
      <c r="R37" s="11" t="s">
        <v>3023</v>
      </c>
      <c r="S37" s="9" t="s">
        <v>1261</v>
      </c>
      <c r="T37" s="11" t="s">
        <v>3024</v>
      </c>
      <c r="U37" s="11" t="s">
        <v>3025</v>
      </c>
      <c r="V37" s="9" t="s">
        <v>789</v>
      </c>
      <c r="W37" s="11" t="s">
        <v>3026</v>
      </c>
    </row>
    <row r="38" customFormat="false" ht="72.75" hidden="false" customHeight="true" outlineLevel="0" collapsed="false">
      <c r="A38" s="11" t="n">
        <v>34</v>
      </c>
      <c r="B38" s="8" t="s">
        <v>582</v>
      </c>
      <c r="C38" s="11" t="s">
        <v>583</v>
      </c>
      <c r="D38" s="17" t="s">
        <v>1094</v>
      </c>
      <c r="E38" s="9" t="s">
        <v>1251</v>
      </c>
      <c r="F38" s="11" t="s">
        <v>397</v>
      </c>
      <c r="G38" s="11" t="s">
        <v>3027</v>
      </c>
      <c r="H38" s="11" t="s">
        <v>3028</v>
      </c>
      <c r="I38" s="11" t="s">
        <v>3029</v>
      </c>
      <c r="J38" s="11" t="s">
        <v>1093</v>
      </c>
      <c r="K38" s="9" t="s">
        <v>233</v>
      </c>
      <c r="L38" s="17" t="s">
        <v>1094</v>
      </c>
      <c r="M38" s="11" t="s">
        <v>3030</v>
      </c>
      <c r="N38" s="11" t="s">
        <v>3031</v>
      </c>
      <c r="O38" s="11" t="s">
        <v>1637</v>
      </c>
      <c r="P38" s="11" t="s">
        <v>3032</v>
      </c>
      <c r="Q38" s="11" t="s">
        <v>1523</v>
      </c>
      <c r="R38" s="11" t="s">
        <v>1524</v>
      </c>
      <c r="S38" s="9" t="s">
        <v>1261</v>
      </c>
      <c r="T38" s="11" t="s">
        <v>3033</v>
      </c>
      <c r="U38" s="11"/>
      <c r="V38" s="9" t="s">
        <v>789</v>
      </c>
      <c r="W38" s="11" t="s">
        <v>3034</v>
      </c>
    </row>
    <row r="39" customFormat="false" ht="97.5" hidden="false" customHeight="true" outlineLevel="0" collapsed="false">
      <c r="A39" s="11" t="n">
        <v>35</v>
      </c>
      <c r="B39" s="8" t="s">
        <v>584</v>
      </c>
      <c r="C39" s="11" t="s">
        <v>585</v>
      </c>
      <c r="D39" s="17" t="s">
        <v>3035</v>
      </c>
      <c r="E39" s="9" t="s">
        <v>1251</v>
      </c>
      <c r="F39" s="11" t="s">
        <v>323</v>
      </c>
      <c r="G39" s="11" t="s">
        <v>3036</v>
      </c>
      <c r="H39" s="11" t="s">
        <v>3037</v>
      </c>
      <c r="I39" s="11" t="s">
        <v>3038</v>
      </c>
      <c r="J39" s="11" t="s">
        <v>1095</v>
      </c>
      <c r="K39" s="9" t="s">
        <v>586</v>
      </c>
      <c r="L39" s="17" t="s">
        <v>1037</v>
      </c>
      <c r="M39" s="11" t="s">
        <v>3039</v>
      </c>
      <c r="N39" s="11" t="s">
        <v>3040</v>
      </c>
      <c r="O39" s="11" t="s">
        <v>1637</v>
      </c>
      <c r="P39" s="11" t="s">
        <v>3041</v>
      </c>
      <c r="Q39" s="11" t="s">
        <v>3042</v>
      </c>
      <c r="R39" s="11" t="s">
        <v>3043</v>
      </c>
      <c r="S39" s="9" t="s">
        <v>1261</v>
      </c>
      <c r="T39" s="11" t="s">
        <v>3044</v>
      </c>
      <c r="U39" s="11"/>
      <c r="V39" s="9" t="s">
        <v>789</v>
      </c>
      <c r="W39" s="11" t="s">
        <v>3045</v>
      </c>
    </row>
    <row r="40" customFormat="false" ht="48.75" hidden="false" customHeight="true" outlineLevel="0" collapsed="false">
      <c r="A40" s="11" t="n">
        <v>36</v>
      </c>
      <c r="B40" s="8" t="s">
        <v>587</v>
      </c>
      <c r="C40" s="11" t="s">
        <v>588</v>
      </c>
      <c r="D40" s="17" t="s">
        <v>1096</v>
      </c>
      <c r="E40" s="9" t="s">
        <v>1251</v>
      </c>
      <c r="F40" s="11" t="s">
        <v>323</v>
      </c>
      <c r="G40" s="11" t="s">
        <v>3046</v>
      </c>
      <c r="H40" s="11" t="s">
        <v>3047</v>
      </c>
      <c r="I40" s="11" t="s">
        <v>3048</v>
      </c>
      <c r="J40" s="11" t="s">
        <v>233</v>
      </c>
      <c r="K40" s="9" t="s">
        <v>233</v>
      </c>
      <c r="L40" s="17" t="s">
        <v>1096</v>
      </c>
      <c r="M40" s="11" t="s">
        <v>3049</v>
      </c>
      <c r="N40" s="11" t="s">
        <v>3050</v>
      </c>
      <c r="O40" s="11" t="s">
        <v>1637</v>
      </c>
      <c r="P40" s="11" t="s">
        <v>3051</v>
      </c>
      <c r="Q40" s="11" t="s">
        <v>1523</v>
      </c>
      <c r="R40" s="11" t="s">
        <v>1524</v>
      </c>
      <c r="S40" s="9" t="s">
        <v>1261</v>
      </c>
      <c r="T40" s="11" t="s">
        <v>3052</v>
      </c>
      <c r="U40" s="11"/>
      <c r="V40" s="9" t="s">
        <v>789</v>
      </c>
      <c r="W40" s="11" t="s">
        <v>1096</v>
      </c>
    </row>
    <row r="41" customFormat="false" ht="48.75" hidden="false" customHeight="true" outlineLevel="0" collapsed="false">
      <c r="A41" s="11" t="n">
        <v>37</v>
      </c>
      <c r="B41" s="8" t="s">
        <v>589</v>
      </c>
      <c r="C41" s="11" t="s">
        <v>590</v>
      </c>
      <c r="D41" s="17" t="s">
        <v>1097</v>
      </c>
      <c r="E41" s="9" t="s">
        <v>1251</v>
      </c>
      <c r="F41" s="11" t="s">
        <v>397</v>
      </c>
      <c r="G41" s="11" t="s">
        <v>3053</v>
      </c>
      <c r="H41" s="11" t="s">
        <v>3054</v>
      </c>
      <c r="I41" s="11" t="s">
        <v>3055</v>
      </c>
      <c r="J41" s="11" t="s">
        <v>233</v>
      </c>
      <c r="K41" s="9" t="s">
        <v>233</v>
      </c>
      <c r="L41" s="17" t="s">
        <v>1097</v>
      </c>
      <c r="M41" s="11" t="s">
        <v>3056</v>
      </c>
      <c r="N41" s="11" t="s">
        <v>3057</v>
      </c>
      <c r="O41" s="11" t="s">
        <v>1637</v>
      </c>
      <c r="P41" s="11" t="s">
        <v>3058</v>
      </c>
      <c r="Q41" s="11" t="s">
        <v>1523</v>
      </c>
      <c r="R41" s="11" t="s">
        <v>1524</v>
      </c>
      <c r="S41" s="9" t="s">
        <v>1261</v>
      </c>
      <c r="T41" s="11" t="s">
        <v>3059</v>
      </c>
      <c r="U41" s="11"/>
      <c r="V41" s="9" t="s">
        <v>789</v>
      </c>
      <c r="W41" s="11" t="s">
        <v>3060</v>
      </c>
    </row>
  </sheetData>
  <autoFilter ref="A4:W41"/>
  <conditionalFormatting sqref="K5:K41">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41">
    <cfRule type="cellIs" priority="6" operator="equal" aboveAverage="0" equalAverage="0" bottom="0" percent="0" rank="0" text="" dxfId="15">
      <formula>"Yes"</formula>
    </cfRule>
  </conditionalFormatting>
  <hyperlinks>
    <hyperlink ref="D5" r:id="rId1" display="https://github.com/awslabs/threat-modeling-mcp-server"/>
    <hyperlink ref="L5" r:id="rId2" display="https://github.com/awslabs/threat-composer/releases"/>
    <hyperlink ref="D6" r:id="rId3" display="https://www.aptori.com/"/>
    <hyperlink ref="L6" r:id="rId4" display="https://www.aptori.com/"/>
    <hyperlink ref="D7" r:id="rId5" display="https://www.aristiun.com/automated-threat-modeling-using-ai"/>
    <hyperlink ref="L7" r:id="rId6" display="https://www.aristiun.com/automated-threat-modeling-using-ai"/>
    <hyperlink ref="D8" r:id="rId7" display="https://www.devarmor.com/"/>
    <hyperlink ref="L8" r:id="rId8" display="https://www.devarmor.com/"/>
    <hyperlink ref="D9" r:id="rId9" display="https://www.securitycompass.com/devici/"/>
    <hyperlink ref="L9" r:id="rId10" display="https://www.securitycompass.com/devici/ai-infusion/"/>
    <hyperlink ref="D10" r:id="rId11" display="https://www.iriusrisk.com/"/>
    <hyperlink ref="L10" r:id="rId12" display="https://www.iriusrisk.com/ai-threat-modeling"/>
    <hyperlink ref="D11" r:id="rId13" display="https://github.com/mrwadams/stride-gpt/blob/master/docs/operationalization-guide.md"/>
    <hyperlink ref="L11" r:id="rId14" display="https://xvnpw.github.io/posts/scaling-threat-modeling-with-ai/"/>
    <hyperlink ref="D12" r:id="rId15" display="https://cloudsecurityalliance.org/blog/2025/02/06/agentic-ai-threat-modeling-framework-maestro"/>
    <hyperlink ref="L12" r:id="rId16" display="https://www.securitycompass.com/devici/ai-infusion/"/>
    <hyperlink ref="D13" r:id="rId17" display="https://learn.microsoft.com/en-us/security/engineering/threat-modeling-aiml"/>
    <hyperlink ref="L13" r:id="rId18" display="https://learn.microsoft.com/en-us/security/engineering/threat-modeling-aiml"/>
    <hyperlink ref="D14" r:id="rId19" display="https://learn.microsoft.com/en-us/security/engineering/threat-modeling-aiml"/>
    <hyperlink ref="L14" r:id="rId20" display="https://learn.microsoft.com/en-us/security/engineering/threat-modeling-aiml"/>
    <hyperlink ref="D15" r:id="rId21" display="https://learn.microsoft.com/en-us/azure/security/develop/threat-modeling-tool"/>
    <hyperlink ref="L15" r:id="rId22" display="https://learn.microsoft.com/en-us/azure/security/develop/threat-modeling-tool-releases"/>
    <hyperlink ref="D16" r:id="rId23" display="https://atlas.mitre.org/"/>
    <hyperlink ref="L16" r:id="rId24" display="https://github.com/mrwadams/stride-gpt"/>
    <hyperlink ref="D17" r:id="rId25" display="https://www.nist.gov/itl/ai-risk-management-framework"/>
    <hyperlink ref="L17" r:id="rId26" display="https://www.nist.gov/itl/ai-risk-management-framework"/>
    <hyperlink ref="D18" r:id="rId27" display="https://www.oplane.com/"/>
    <hyperlink ref="L18" r:id="rId28" display="https://www.oplane.com/"/>
    <hyperlink ref="D19" r:id="rId29" display="https://genai.owasp.org/initiatives/agentic-security-initiative/"/>
    <hyperlink ref="L19" r:id="rId30" display="https://genai.owasp.org/initiatives/agentic-security-initiative/"/>
    <hyperlink ref="D20" r:id="rId31" display="https://owaspai.org/"/>
    <hyperlink ref="L20" r:id="rId32" display="https://owaspai.org/"/>
    <hyperlink ref="D21" r:id="rId33" display="https://owasp.org/www-project-cornucopia/"/>
    <hyperlink ref="L21" r:id="rId34" display="https://owasp.org/www-project-cornucopia/"/>
    <hyperlink ref="D22" r:id="rId35" display="https://genai.owasp.org/llm-top-10/"/>
    <hyperlink ref="L22" r:id="rId36" display="https://genai.owasp.org/"/>
    <hyperlink ref="D23" r:id="rId37" display="https://www.primesec.ai/"/>
    <hyperlink ref="L23" r:id="rId38" display="https://www.primesec.ai/ai-security-architect"/>
    <hyperlink ref="D24" r:id="rId39" display="https://www.securitycompass.com/sdelements/"/>
    <hyperlink ref="L24" r:id="rId40" display="https://www.securitycompass.com/sdelements/navigator/"/>
    <hyperlink ref="D25" r:id="rId41" display="https://foreseeti.com/"/>
    <hyperlink ref="L25" r:id="rId42" display="https://foreseeti.com/"/>
    <hyperlink ref="D26" r:id="rId43" display="https://seezo.io/"/>
    <hyperlink ref="L26" r:id="rId44" display="https://seezo.io/"/>
    <hyperlink ref="D27" r:id="rId45" display="https://shostack.org/resources/threat-modeling"/>
    <hyperlink ref="L27" r:id="rId46" display="https://shostack.org/resources/threat-modeling"/>
    <hyperlink ref="D28" r:id="rId47" display="https://www.secureflag.com/threat-modeling/"/>
    <hyperlink ref="L28" r:id="rId48" display="https://blog.secureflag.com/2026/01/13/code-repo-to-threatcanvas/"/>
    <hyperlink ref="D29" r:id="rId49" display="https://www.threatmodeler.ai/"/>
    <hyperlink ref="L29" r:id="rId50" display="https://www.threatmodeler.ai/products/cloudmodeler"/>
    <hyperlink ref="D30" r:id="rId51" display="https://www.tidalcyber.com/"/>
    <hyperlink ref="L30" r:id="rId52" display="https://www.tidalcyber.com/"/>
    <hyperlink ref="D31" r:id="rId53" display="https://tutamantic.com/"/>
    <hyperlink ref="L31" r:id="rId54" display="https://tutamantic.com/"/>
    <hyperlink ref="D32" r:id="rId55" display="https://github.com/cairis-platform/cairis"/>
    <hyperlink ref="L32" r:id="rId56" display="https://github.com/cairis-platform/cairis"/>
    <hyperlink ref="D33" r:id="rId57" display="https://github.com/OWASP/pytm"/>
    <hyperlink ref="L33" r:id="rId58" display="https://github.com/OWASP/pytm"/>
    <hyperlink ref="D34" r:id="rId59" display="https://github.com/OWASP/threat-dragon"/>
    <hyperlink ref="L34" r:id="rId60" display="https://owasp.org/www-project-threat-dragon/"/>
    <hyperlink ref="D35" r:id="rId61" display="https://www.precogly.org/"/>
    <hyperlink ref="L35" r:id="rId62" display="https://www.precogly.org/"/>
    <hyperlink ref="D36" r:id="rId63" display="https://github.com/RedHatProductSecurity/agentic-threat-modeling"/>
    <hyperlink ref="L36" r:id="rId64" display="https://developers.redhat.com/articles/2026/09/21/ai-threat-modeling-shouldnt-be-a-bottleneck-so-we-open-sourced-ours"/>
    <hyperlink ref="D37" r:id="rId65" display="https://github.com/mrwadams/stride-gpt"/>
    <hyperlink ref="L37" r:id="rId66" display="https://github.com/mrwadams/stride-gpt"/>
    <hyperlink ref="D38" r:id="rId67" display="https://github.com/Threagile/threagile"/>
    <hyperlink ref="L38" r:id="rId68" display="https://github.com/Threagile/threagile"/>
    <hyperlink ref="D39" r:id="rId69" display="https://github.com/awslabs/threat-composer"/>
    <hyperlink ref="L39" r:id="rId70" display="https://github.com/awslabs/threat-composer/releases"/>
    <hyperlink ref="D40" r:id="rId71" display="https://github.com/DataDog/threatest"/>
    <hyperlink ref="L40" r:id="rId72" display="https://github.com/DataDog/threatest"/>
    <hyperlink ref="D41" r:id="rId73" display="https://github.com/threatspec/threatspec"/>
    <hyperlink ref="L41" r:id="rId74" display="https://github.com/threatspec/threatspe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3061</v>
      </c>
    </row>
    <row r="2" customFormat="false" ht="15" hidden="false" customHeight="false" outlineLevel="0" collapsed="false">
      <c r="A2" s="2" t="s">
        <v>3062</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72.75" hidden="false" customHeight="true" outlineLevel="0" collapsed="false">
      <c r="A5" s="11" t="n">
        <v>1</v>
      </c>
      <c r="B5" s="8" t="s">
        <v>591</v>
      </c>
      <c r="C5" s="11" t="s">
        <v>498</v>
      </c>
      <c r="D5" s="17" t="s">
        <v>1039</v>
      </c>
      <c r="E5" s="9" t="s">
        <v>1251</v>
      </c>
      <c r="F5" s="11" t="s">
        <v>183</v>
      </c>
      <c r="G5" s="11" t="s">
        <v>3063</v>
      </c>
      <c r="H5" s="11" t="s">
        <v>3064</v>
      </c>
      <c r="I5" s="11" t="s">
        <v>3065</v>
      </c>
      <c r="J5" s="11" t="s">
        <v>1098</v>
      </c>
      <c r="K5" s="9" t="s">
        <v>592</v>
      </c>
      <c r="L5" s="17" t="s">
        <v>1099</v>
      </c>
      <c r="M5" s="11" t="s">
        <v>3066</v>
      </c>
      <c r="N5" s="11" t="s">
        <v>3067</v>
      </c>
      <c r="O5" s="11" t="s">
        <v>3068</v>
      </c>
      <c r="P5" s="11" t="s">
        <v>3069</v>
      </c>
      <c r="Q5" s="11" t="s">
        <v>1795</v>
      </c>
      <c r="R5" s="11" t="s">
        <v>1273</v>
      </c>
      <c r="S5" s="9" t="s">
        <v>233</v>
      </c>
      <c r="T5" s="11" t="s">
        <v>3070</v>
      </c>
      <c r="U5" s="11"/>
      <c r="V5" s="9" t="s">
        <v>797</v>
      </c>
      <c r="W5" s="11" t="s">
        <v>3071</v>
      </c>
    </row>
    <row r="6" customFormat="false" ht="133.5" hidden="false" customHeight="true" outlineLevel="0" collapsed="false">
      <c r="A6" s="11" t="n">
        <v>2</v>
      </c>
      <c r="B6" s="8" t="s">
        <v>593</v>
      </c>
      <c r="C6" s="11" t="s">
        <v>594</v>
      </c>
      <c r="D6" s="17" t="s">
        <v>1101</v>
      </c>
      <c r="E6" s="9" t="s">
        <v>1251</v>
      </c>
      <c r="F6" s="11" t="s">
        <v>183</v>
      </c>
      <c r="G6" s="11" t="s">
        <v>1421</v>
      </c>
      <c r="H6" s="11" t="s">
        <v>3072</v>
      </c>
      <c r="I6" s="11" t="s">
        <v>3073</v>
      </c>
      <c r="J6" s="11" t="s">
        <v>1100</v>
      </c>
      <c r="K6" s="9" t="s">
        <v>181</v>
      </c>
      <c r="L6" s="17" t="s">
        <v>1101</v>
      </c>
      <c r="M6" s="11" t="s">
        <v>3074</v>
      </c>
      <c r="N6" s="11" t="s">
        <v>3075</v>
      </c>
      <c r="O6" s="11" t="s">
        <v>3076</v>
      </c>
      <c r="P6" s="11" t="s">
        <v>3077</v>
      </c>
      <c r="Q6" s="11" t="s">
        <v>1795</v>
      </c>
      <c r="R6" s="11" t="s">
        <v>1273</v>
      </c>
      <c r="S6" s="9" t="s">
        <v>233</v>
      </c>
      <c r="T6" s="11" t="s">
        <v>3078</v>
      </c>
      <c r="U6" s="11"/>
      <c r="V6" s="9" t="s">
        <v>789</v>
      </c>
      <c r="W6" s="11" t="s">
        <v>1101</v>
      </c>
    </row>
    <row r="7" customFormat="false" ht="158.25" hidden="false" customHeight="true" outlineLevel="0" collapsed="false">
      <c r="A7" s="11" t="n">
        <v>3</v>
      </c>
      <c r="B7" s="8" t="s">
        <v>595</v>
      </c>
      <c r="C7" s="11" t="s">
        <v>596</v>
      </c>
      <c r="D7" s="17" t="s">
        <v>3079</v>
      </c>
      <c r="E7" s="9" t="s">
        <v>1251</v>
      </c>
      <c r="F7" s="11" t="s">
        <v>183</v>
      </c>
      <c r="G7" s="11" t="s">
        <v>3080</v>
      </c>
      <c r="H7" s="11" t="s">
        <v>3081</v>
      </c>
      <c r="I7" s="11" t="s">
        <v>3082</v>
      </c>
      <c r="J7" s="11" t="s">
        <v>1102</v>
      </c>
      <c r="K7" s="9" t="s">
        <v>597</v>
      </c>
      <c r="L7" s="17" t="s">
        <v>1103</v>
      </c>
      <c r="M7" s="11" t="s">
        <v>3083</v>
      </c>
      <c r="N7" s="11" t="s">
        <v>3084</v>
      </c>
      <c r="O7" s="11" t="s">
        <v>3085</v>
      </c>
      <c r="P7" s="11" t="s">
        <v>3086</v>
      </c>
      <c r="Q7" s="11" t="s">
        <v>3087</v>
      </c>
      <c r="R7" s="11" t="s">
        <v>1273</v>
      </c>
      <c r="S7" s="9" t="s">
        <v>233</v>
      </c>
      <c r="T7" s="11" t="s">
        <v>3088</v>
      </c>
      <c r="U7" s="11" t="s">
        <v>3089</v>
      </c>
      <c r="V7" s="9" t="s">
        <v>789</v>
      </c>
      <c r="W7" s="11" t="s">
        <v>3090</v>
      </c>
    </row>
    <row r="8" customFormat="false" ht="133.5" hidden="false" customHeight="true" outlineLevel="0" collapsed="false">
      <c r="A8" s="11" t="n">
        <v>4</v>
      </c>
      <c r="B8" s="8" t="s">
        <v>598</v>
      </c>
      <c r="C8" s="11" t="s">
        <v>546</v>
      </c>
      <c r="D8" s="17" t="s">
        <v>1105</v>
      </c>
      <c r="E8" s="9" t="s">
        <v>1251</v>
      </c>
      <c r="F8" s="11" t="s">
        <v>183</v>
      </c>
      <c r="G8" s="11" t="s">
        <v>1421</v>
      </c>
      <c r="H8" s="11" t="s">
        <v>3091</v>
      </c>
      <c r="I8" s="11" t="s">
        <v>3092</v>
      </c>
      <c r="J8" s="11" t="s">
        <v>1104</v>
      </c>
      <c r="K8" s="9" t="s">
        <v>181</v>
      </c>
      <c r="L8" s="17" t="s">
        <v>1105</v>
      </c>
      <c r="M8" s="11" t="s">
        <v>3093</v>
      </c>
      <c r="N8" s="11" t="s">
        <v>1273</v>
      </c>
      <c r="O8" s="11" t="s">
        <v>3094</v>
      </c>
      <c r="P8" s="11" t="s">
        <v>3095</v>
      </c>
      <c r="Q8" s="11" t="s">
        <v>3096</v>
      </c>
      <c r="R8" s="11" t="s">
        <v>1273</v>
      </c>
      <c r="S8" s="9" t="s">
        <v>233</v>
      </c>
      <c r="T8" s="11" t="s">
        <v>3097</v>
      </c>
      <c r="U8" s="11"/>
      <c r="V8" s="9" t="s">
        <v>789</v>
      </c>
      <c r="W8" s="11" t="s">
        <v>3098</v>
      </c>
    </row>
    <row r="9" customFormat="false" ht="84.75" hidden="false" customHeight="true" outlineLevel="0" collapsed="false">
      <c r="A9" s="11" t="n">
        <v>5</v>
      </c>
      <c r="B9" s="8" t="s">
        <v>599</v>
      </c>
      <c r="C9" s="11" t="s">
        <v>600</v>
      </c>
      <c r="D9" s="17" t="s">
        <v>1107</v>
      </c>
      <c r="E9" s="9" t="s">
        <v>1251</v>
      </c>
      <c r="F9" s="11" t="s">
        <v>183</v>
      </c>
      <c r="G9" s="11" t="s">
        <v>3099</v>
      </c>
      <c r="H9" s="11" t="s">
        <v>3100</v>
      </c>
      <c r="I9" s="11" t="s">
        <v>3101</v>
      </c>
      <c r="J9" s="11" t="s">
        <v>1106</v>
      </c>
      <c r="K9" s="9" t="s">
        <v>601</v>
      </c>
      <c r="L9" s="17" t="s">
        <v>1107</v>
      </c>
      <c r="M9" s="11" t="s">
        <v>3102</v>
      </c>
      <c r="N9" s="11" t="s">
        <v>3103</v>
      </c>
      <c r="O9" s="11" t="s">
        <v>3104</v>
      </c>
      <c r="P9" s="11" t="s">
        <v>3105</v>
      </c>
      <c r="Q9" s="11" t="s">
        <v>3106</v>
      </c>
      <c r="R9" s="11" t="s">
        <v>1273</v>
      </c>
      <c r="S9" s="9" t="s">
        <v>233</v>
      </c>
      <c r="T9" s="11" t="s">
        <v>3107</v>
      </c>
      <c r="U9" s="11"/>
      <c r="V9" s="9" t="s">
        <v>786</v>
      </c>
      <c r="W9" s="11" t="s">
        <v>3108</v>
      </c>
    </row>
    <row r="10" customFormat="false" ht="146.25" hidden="false" customHeight="true" outlineLevel="0" collapsed="false">
      <c r="A10" s="11" t="n">
        <v>6</v>
      </c>
      <c r="B10" s="8" t="s">
        <v>602</v>
      </c>
      <c r="C10" s="11" t="s">
        <v>603</v>
      </c>
      <c r="D10" s="17" t="s">
        <v>3109</v>
      </c>
      <c r="E10" s="9" t="s">
        <v>1251</v>
      </c>
      <c r="F10" s="11" t="s">
        <v>512</v>
      </c>
      <c r="G10" s="11" t="s">
        <v>3110</v>
      </c>
      <c r="H10" s="11" t="s">
        <v>3111</v>
      </c>
      <c r="I10" s="11" t="s">
        <v>3112</v>
      </c>
      <c r="J10" s="11" t="s">
        <v>1108</v>
      </c>
      <c r="K10" s="9" t="s">
        <v>604</v>
      </c>
      <c r="L10" s="17" t="s">
        <v>1109</v>
      </c>
      <c r="M10" s="11" t="s">
        <v>3113</v>
      </c>
      <c r="N10" s="11" t="s">
        <v>3114</v>
      </c>
      <c r="O10" s="11" t="s">
        <v>3115</v>
      </c>
      <c r="P10" s="11" t="s">
        <v>3116</v>
      </c>
      <c r="Q10" s="11" t="s">
        <v>3117</v>
      </c>
      <c r="R10" s="11" t="s">
        <v>3118</v>
      </c>
      <c r="S10" s="9" t="s">
        <v>1296</v>
      </c>
      <c r="T10" s="11" t="s">
        <v>3119</v>
      </c>
      <c r="U10" s="11"/>
      <c r="V10" s="9" t="s">
        <v>789</v>
      </c>
      <c r="W10" s="11" t="s">
        <v>3120</v>
      </c>
    </row>
    <row r="11" customFormat="false" ht="84.75" hidden="false" customHeight="true" outlineLevel="0" collapsed="false">
      <c r="A11" s="11" t="n">
        <v>7</v>
      </c>
      <c r="B11" s="8" t="s">
        <v>605</v>
      </c>
      <c r="C11" s="11" t="s">
        <v>606</v>
      </c>
      <c r="D11" s="17" t="s">
        <v>1111</v>
      </c>
      <c r="E11" s="9" t="s">
        <v>1251</v>
      </c>
      <c r="F11" s="11" t="s">
        <v>183</v>
      </c>
      <c r="G11" s="11" t="s">
        <v>3121</v>
      </c>
      <c r="H11" s="11" t="s">
        <v>3122</v>
      </c>
      <c r="I11" s="11" t="s">
        <v>3123</v>
      </c>
      <c r="J11" s="11" t="s">
        <v>1110</v>
      </c>
      <c r="K11" s="9" t="s">
        <v>607</v>
      </c>
      <c r="L11" s="17" t="s">
        <v>1111</v>
      </c>
      <c r="M11" s="11" t="s">
        <v>3124</v>
      </c>
      <c r="N11" s="11" t="s">
        <v>3125</v>
      </c>
      <c r="O11" s="11" t="s">
        <v>3126</v>
      </c>
      <c r="P11" s="11" t="s">
        <v>3127</v>
      </c>
      <c r="Q11" s="11" t="s">
        <v>3128</v>
      </c>
      <c r="R11" s="11" t="s">
        <v>1273</v>
      </c>
      <c r="S11" s="9" t="s">
        <v>233</v>
      </c>
      <c r="T11" s="11" t="s">
        <v>3129</v>
      </c>
      <c r="U11" s="11"/>
      <c r="V11" s="9" t="s">
        <v>786</v>
      </c>
      <c r="W11" s="11" t="s">
        <v>3130</v>
      </c>
    </row>
    <row r="12" customFormat="false" ht="97.5" hidden="false" customHeight="true" outlineLevel="0" collapsed="false">
      <c r="A12" s="11" t="n">
        <v>8</v>
      </c>
      <c r="B12" s="8" t="s">
        <v>608</v>
      </c>
      <c r="C12" s="11" t="s">
        <v>609</v>
      </c>
      <c r="D12" s="17" t="s">
        <v>3131</v>
      </c>
      <c r="E12" s="9" t="s">
        <v>1251</v>
      </c>
      <c r="F12" s="11" t="s">
        <v>183</v>
      </c>
      <c r="G12" s="11" t="s">
        <v>3132</v>
      </c>
      <c r="H12" s="11" t="s">
        <v>3133</v>
      </c>
      <c r="I12" s="11" t="s">
        <v>3134</v>
      </c>
      <c r="J12" s="11" t="s">
        <v>1112</v>
      </c>
      <c r="K12" s="9" t="s">
        <v>610</v>
      </c>
      <c r="L12" s="17" t="s">
        <v>1113</v>
      </c>
      <c r="M12" s="11" t="s">
        <v>3135</v>
      </c>
      <c r="N12" s="11" t="s">
        <v>3136</v>
      </c>
      <c r="O12" s="11" t="s">
        <v>3137</v>
      </c>
      <c r="P12" s="11" t="s">
        <v>3138</v>
      </c>
      <c r="Q12" s="11" t="s">
        <v>3139</v>
      </c>
      <c r="R12" s="11" t="s">
        <v>3140</v>
      </c>
      <c r="S12" s="9" t="s">
        <v>1296</v>
      </c>
      <c r="T12" s="11" t="s">
        <v>3141</v>
      </c>
      <c r="U12" s="11"/>
      <c r="V12" s="9" t="s">
        <v>797</v>
      </c>
      <c r="W12" s="11" t="s">
        <v>3142</v>
      </c>
    </row>
    <row r="13" customFormat="false" ht="109.5" hidden="false" customHeight="true" outlineLevel="0" collapsed="false">
      <c r="A13" s="11" t="n">
        <v>9</v>
      </c>
      <c r="B13" s="8" t="s">
        <v>611</v>
      </c>
      <c r="C13" s="11" t="s">
        <v>211</v>
      </c>
      <c r="D13" s="17" t="s">
        <v>3143</v>
      </c>
      <c r="E13" s="9" t="s">
        <v>1251</v>
      </c>
      <c r="F13" s="11" t="s">
        <v>212</v>
      </c>
      <c r="G13" s="11" t="s">
        <v>1421</v>
      </c>
      <c r="H13" s="11" t="s">
        <v>3144</v>
      </c>
      <c r="I13" s="11" t="s">
        <v>3145</v>
      </c>
      <c r="J13" s="11" t="s">
        <v>1114</v>
      </c>
      <c r="K13" s="9" t="s">
        <v>612</v>
      </c>
      <c r="L13" s="17" t="s">
        <v>1115</v>
      </c>
      <c r="M13" s="11" t="s">
        <v>3146</v>
      </c>
      <c r="N13" s="11" t="s">
        <v>3147</v>
      </c>
      <c r="O13" s="11" t="s">
        <v>3148</v>
      </c>
      <c r="P13" s="11" t="s">
        <v>3149</v>
      </c>
      <c r="Q13" s="11" t="s">
        <v>3150</v>
      </c>
      <c r="R13" s="11" t="s">
        <v>3151</v>
      </c>
      <c r="S13" s="9" t="s">
        <v>1296</v>
      </c>
      <c r="T13" s="11" t="s">
        <v>3152</v>
      </c>
      <c r="U13" s="11"/>
      <c r="V13" s="9" t="s">
        <v>797</v>
      </c>
      <c r="W13" s="11" t="s">
        <v>3153</v>
      </c>
    </row>
    <row r="14" customFormat="false" ht="72.75" hidden="false" customHeight="true" outlineLevel="0" collapsed="false">
      <c r="A14" s="11" t="n">
        <v>10</v>
      </c>
      <c r="B14" s="8" t="s">
        <v>613</v>
      </c>
      <c r="C14" s="11" t="s">
        <v>614</v>
      </c>
      <c r="D14" s="17" t="s">
        <v>3154</v>
      </c>
      <c r="E14" s="9" t="s">
        <v>1251</v>
      </c>
      <c r="F14" s="11" t="s">
        <v>183</v>
      </c>
      <c r="G14" s="11" t="s">
        <v>3155</v>
      </c>
      <c r="H14" s="11" t="s">
        <v>3156</v>
      </c>
      <c r="I14" s="11" t="s">
        <v>3157</v>
      </c>
      <c r="J14" s="11" t="s">
        <v>1116</v>
      </c>
      <c r="K14" s="9" t="s">
        <v>279</v>
      </c>
      <c r="L14" s="17" t="s">
        <v>1117</v>
      </c>
      <c r="M14" s="11" t="s">
        <v>3158</v>
      </c>
      <c r="N14" s="11" t="s">
        <v>1273</v>
      </c>
      <c r="O14" s="11" t="s">
        <v>3159</v>
      </c>
      <c r="P14" s="11" t="s">
        <v>3160</v>
      </c>
      <c r="Q14" s="11" t="s">
        <v>2511</v>
      </c>
      <c r="R14" s="11" t="s">
        <v>1273</v>
      </c>
      <c r="S14" s="9" t="s">
        <v>233</v>
      </c>
      <c r="T14" s="11" t="s">
        <v>3161</v>
      </c>
      <c r="U14" s="11"/>
      <c r="V14" s="9" t="s">
        <v>797</v>
      </c>
      <c r="W14" s="11" t="s">
        <v>3162</v>
      </c>
    </row>
    <row r="15" customFormat="false" ht="84.75" hidden="false" customHeight="true" outlineLevel="0" collapsed="false">
      <c r="A15" s="11" t="n">
        <v>11</v>
      </c>
      <c r="B15" s="8" t="s">
        <v>615</v>
      </c>
      <c r="C15" s="11" t="s">
        <v>16</v>
      </c>
      <c r="D15" s="17" t="s">
        <v>1119</v>
      </c>
      <c r="E15" s="9" t="s">
        <v>1251</v>
      </c>
      <c r="F15" s="11" t="s">
        <v>616</v>
      </c>
      <c r="G15" s="11" t="s">
        <v>3163</v>
      </c>
      <c r="H15" s="11" t="s">
        <v>3164</v>
      </c>
      <c r="I15" s="11" t="s">
        <v>3165</v>
      </c>
      <c r="J15" s="11" t="s">
        <v>1118</v>
      </c>
      <c r="K15" s="9" t="s">
        <v>233</v>
      </c>
      <c r="L15" s="17" t="s">
        <v>1119</v>
      </c>
      <c r="M15" s="11" t="s">
        <v>3166</v>
      </c>
      <c r="N15" s="11" t="s">
        <v>3136</v>
      </c>
      <c r="O15" s="11" t="s">
        <v>3167</v>
      </c>
      <c r="P15" s="11" t="s">
        <v>3168</v>
      </c>
      <c r="Q15" s="11" t="s">
        <v>1523</v>
      </c>
      <c r="R15" s="11" t="s">
        <v>1524</v>
      </c>
      <c r="S15" s="9" t="s">
        <v>1261</v>
      </c>
      <c r="T15" s="11" t="s">
        <v>3169</v>
      </c>
      <c r="U15" s="11"/>
      <c r="V15" s="9" t="s">
        <v>786</v>
      </c>
      <c r="W15" s="11" t="s">
        <v>3170</v>
      </c>
    </row>
    <row r="16" customFormat="false" ht="97.5" hidden="false" customHeight="true" outlineLevel="0" collapsed="false">
      <c r="A16" s="11" t="n">
        <v>12</v>
      </c>
      <c r="B16" s="8" t="s">
        <v>617</v>
      </c>
      <c r="C16" s="11" t="s">
        <v>618</v>
      </c>
      <c r="D16" s="17" t="s">
        <v>3171</v>
      </c>
      <c r="E16" s="9" t="s">
        <v>1251</v>
      </c>
      <c r="F16" s="11" t="s">
        <v>616</v>
      </c>
      <c r="G16" s="11" t="s">
        <v>3163</v>
      </c>
      <c r="H16" s="11" t="s">
        <v>3172</v>
      </c>
      <c r="I16" s="11" t="s">
        <v>3173</v>
      </c>
      <c r="J16" s="11" t="s">
        <v>1120</v>
      </c>
      <c r="K16" s="9" t="s">
        <v>619</v>
      </c>
      <c r="L16" s="17" t="s">
        <v>1121</v>
      </c>
      <c r="M16" s="11" t="s">
        <v>3174</v>
      </c>
      <c r="N16" s="11" t="s">
        <v>3175</v>
      </c>
      <c r="O16" s="11" t="s">
        <v>3176</v>
      </c>
      <c r="P16" s="11" t="s">
        <v>3177</v>
      </c>
      <c r="Q16" s="11" t="s">
        <v>3178</v>
      </c>
      <c r="R16" s="11" t="s">
        <v>1524</v>
      </c>
      <c r="S16" s="9" t="s">
        <v>1261</v>
      </c>
      <c r="T16" s="11" t="s">
        <v>3179</v>
      </c>
      <c r="U16" s="11"/>
      <c r="V16" s="9" t="s">
        <v>789</v>
      </c>
      <c r="W16" s="11" t="s">
        <v>3180</v>
      </c>
    </row>
    <row r="17" customFormat="false" ht="97.5" hidden="false" customHeight="true" outlineLevel="0" collapsed="false">
      <c r="A17" s="11" t="n">
        <v>13</v>
      </c>
      <c r="B17" s="8" t="s">
        <v>620</v>
      </c>
      <c r="C17" s="11" t="s">
        <v>621</v>
      </c>
      <c r="D17" s="17" t="s">
        <v>1123</v>
      </c>
      <c r="E17" s="9" t="s">
        <v>1251</v>
      </c>
      <c r="F17" s="11" t="s">
        <v>616</v>
      </c>
      <c r="G17" s="11" t="s">
        <v>3163</v>
      </c>
      <c r="H17" s="11" t="s">
        <v>3181</v>
      </c>
      <c r="I17" s="11" t="s">
        <v>3182</v>
      </c>
      <c r="J17" s="11" t="s">
        <v>1122</v>
      </c>
      <c r="K17" s="9" t="s">
        <v>233</v>
      </c>
      <c r="L17" s="17" t="s">
        <v>1123</v>
      </c>
      <c r="M17" s="11" t="s">
        <v>3183</v>
      </c>
      <c r="N17" s="11" t="s">
        <v>3184</v>
      </c>
      <c r="O17" s="11" t="s">
        <v>3185</v>
      </c>
      <c r="P17" s="11" t="s">
        <v>3186</v>
      </c>
      <c r="Q17" s="11" t="s">
        <v>1523</v>
      </c>
      <c r="R17" s="11" t="s">
        <v>1524</v>
      </c>
      <c r="S17" s="9" t="s">
        <v>1261</v>
      </c>
      <c r="T17" s="11" t="s">
        <v>3187</v>
      </c>
      <c r="U17" s="11"/>
      <c r="V17" s="9" t="s">
        <v>789</v>
      </c>
      <c r="W17" s="11" t="s">
        <v>3188</v>
      </c>
    </row>
    <row r="18" customFormat="false" ht="84.75" hidden="false" customHeight="true" outlineLevel="0" collapsed="false">
      <c r="A18" s="11" t="n">
        <v>14</v>
      </c>
      <c r="B18" s="8" t="s">
        <v>622</v>
      </c>
      <c r="C18" s="11" t="s">
        <v>623</v>
      </c>
      <c r="D18" s="17" t="s">
        <v>3189</v>
      </c>
      <c r="E18" s="9" t="s">
        <v>1251</v>
      </c>
      <c r="F18" s="11" t="s">
        <v>616</v>
      </c>
      <c r="G18" s="11" t="s">
        <v>3190</v>
      </c>
      <c r="H18" s="11" t="s">
        <v>3191</v>
      </c>
      <c r="I18" s="11" t="s">
        <v>3192</v>
      </c>
      <c r="J18" s="11" t="s">
        <v>1124</v>
      </c>
      <c r="K18" s="9" t="s">
        <v>233</v>
      </c>
      <c r="L18" s="17" t="s">
        <v>1125</v>
      </c>
      <c r="M18" s="11" t="s">
        <v>3193</v>
      </c>
      <c r="N18" s="11" t="s">
        <v>3194</v>
      </c>
      <c r="O18" s="11" t="s">
        <v>3195</v>
      </c>
      <c r="P18" s="11" t="s">
        <v>3196</v>
      </c>
      <c r="Q18" s="11" t="s">
        <v>3197</v>
      </c>
      <c r="R18" s="11" t="s">
        <v>1524</v>
      </c>
      <c r="S18" s="9" t="s">
        <v>1261</v>
      </c>
      <c r="T18" s="11" t="s">
        <v>3198</v>
      </c>
      <c r="U18" s="11"/>
      <c r="V18" s="9" t="s">
        <v>789</v>
      </c>
      <c r="W18" s="11" t="s">
        <v>3199</v>
      </c>
    </row>
    <row r="19" customFormat="false" ht="158.25" hidden="false" customHeight="true" outlineLevel="0" collapsed="false">
      <c r="A19" s="11" t="n">
        <v>15</v>
      </c>
      <c r="B19" s="8" t="s">
        <v>624</v>
      </c>
      <c r="C19" s="11" t="s">
        <v>543</v>
      </c>
      <c r="D19" s="17" t="s">
        <v>2877</v>
      </c>
      <c r="E19" s="9" t="s">
        <v>1276</v>
      </c>
      <c r="F19" s="11" t="s">
        <v>183</v>
      </c>
      <c r="G19" s="11" t="s">
        <v>3200</v>
      </c>
      <c r="H19" s="11" t="s">
        <v>3201</v>
      </c>
      <c r="I19" s="11" t="s">
        <v>3202</v>
      </c>
      <c r="J19" s="11" t="s">
        <v>1126</v>
      </c>
      <c r="K19" s="9" t="s">
        <v>181</v>
      </c>
      <c r="L19" s="17" t="s">
        <v>1127</v>
      </c>
      <c r="M19" s="11" t="s">
        <v>3203</v>
      </c>
      <c r="N19" s="11" t="s">
        <v>3204</v>
      </c>
      <c r="O19" s="11" t="s">
        <v>3205</v>
      </c>
      <c r="P19" s="11" t="s">
        <v>3206</v>
      </c>
      <c r="Q19" s="11" t="s">
        <v>3207</v>
      </c>
      <c r="R19" s="11" t="s">
        <v>1273</v>
      </c>
      <c r="S19" s="9" t="s">
        <v>1296</v>
      </c>
      <c r="T19" s="11" t="s">
        <v>3208</v>
      </c>
      <c r="U19" s="11" t="s">
        <v>3209</v>
      </c>
      <c r="V19" s="9" t="s">
        <v>789</v>
      </c>
      <c r="W19" s="11" t="s">
        <v>3210</v>
      </c>
    </row>
    <row r="20" customFormat="false" ht="72.75" hidden="false" customHeight="true" outlineLevel="0" collapsed="false">
      <c r="A20" s="11" t="n">
        <v>16</v>
      </c>
      <c r="B20" s="8" t="s">
        <v>625</v>
      </c>
      <c r="C20" s="11" t="s">
        <v>626</v>
      </c>
      <c r="D20" s="17" t="s">
        <v>3211</v>
      </c>
      <c r="E20" s="9" t="s">
        <v>1276</v>
      </c>
      <c r="F20" s="11" t="s">
        <v>183</v>
      </c>
      <c r="G20" s="11" t="s">
        <v>3212</v>
      </c>
      <c r="H20" s="11" t="s">
        <v>3213</v>
      </c>
      <c r="I20" s="11" t="s">
        <v>3214</v>
      </c>
      <c r="J20" s="11" t="s">
        <v>1128</v>
      </c>
      <c r="K20" s="9" t="s">
        <v>627</v>
      </c>
      <c r="L20" s="17" t="s">
        <v>1129</v>
      </c>
      <c r="M20" s="11" t="s">
        <v>3215</v>
      </c>
      <c r="N20" s="11" t="s">
        <v>1273</v>
      </c>
      <c r="O20" s="11" t="s">
        <v>3216</v>
      </c>
      <c r="P20" s="11" t="s">
        <v>3217</v>
      </c>
      <c r="Q20" s="11" t="s">
        <v>3212</v>
      </c>
      <c r="R20" s="11" t="s">
        <v>1273</v>
      </c>
      <c r="S20" s="9" t="s">
        <v>233</v>
      </c>
      <c r="T20" s="11" t="s">
        <v>3218</v>
      </c>
      <c r="U20" s="11" t="s">
        <v>3219</v>
      </c>
      <c r="V20" s="9" t="s">
        <v>797</v>
      </c>
      <c r="W20" s="11" t="s">
        <v>3220</v>
      </c>
    </row>
    <row r="21" customFormat="false" ht="72.75" hidden="false" customHeight="true" outlineLevel="0" collapsed="false">
      <c r="A21" s="11" t="n">
        <v>17</v>
      </c>
      <c r="B21" s="8" t="s">
        <v>628</v>
      </c>
      <c r="C21" s="11" t="s">
        <v>629</v>
      </c>
      <c r="D21" s="17" t="s">
        <v>1131</v>
      </c>
      <c r="E21" s="9" t="s">
        <v>1251</v>
      </c>
      <c r="F21" s="11" t="s">
        <v>183</v>
      </c>
      <c r="G21" s="11" t="s">
        <v>1421</v>
      </c>
      <c r="H21" s="11" t="s">
        <v>3221</v>
      </c>
      <c r="I21" s="11" t="s">
        <v>3222</v>
      </c>
      <c r="J21" s="11" t="s">
        <v>1130</v>
      </c>
      <c r="K21" s="9" t="s">
        <v>279</v>
      </c>
      <c r="L21" s="17" t="s">
        <v>1131</v>
      </c>
      <c r="M21" s="11" t="s">
        <v>3223</v>
      </c>
      <c r="N21" s="11" t="s">
        <v>3224</v>
      </c>
      <c r="O21" s="11" t="s">
        <v>3225</v>
      </c>
      <c r="P21" s="11" t="s">
        <v>3226</v>
      </c>
      <c r="Q21" s="11" t="s">
        <v>2511</v>
      </c>
      <c r="R21" s="11" t="s">
        <v>1273</v>
      </c>
      <c r="S21" s="9" t="s">
        <v>233</v>
      </c>
      <c r="T21" s="11" t="s">
        <v>3227</v>
      </c>
      <c r="U21" s="11"/>
      <c r="V21" s="9" t="s">
        <v>786</v>
      </c>
      <c r="W21" s="11" t="s">
        <v>1131</v>
      </c>
    </row>
    <row r="22" customFormat="false" ht="84.75" hidden="false" customHeight="true" outlineLevel="0" collapsed="false">
      <c r="A22" s="11" t="n">
        <v>18</v>
      </c>
      <c r="B22" s="8" t="s">
        <v>630</v>
      </c>
      <c r="C22" s="11" t="s">
        <v>631</v>
      </c>
      <c r="D22" s="17" t="s">
        <v>1133</v>
      </c>
      <c r="E22" s="9" t="s">
        <v>1251</v>
      </c>
      <c r="F22" s="11" t="s">
        <v>212</v>
      </c>
      <c r="G22" s="11" t="s">
        <v>3228</v>
      </c>
      <c r="H22" s="11" t="s">
        <v>3229</v>
      </c>
      <c r="I22" s="11" t="s">
        <v>3230</v>
      </c>
      <c r="J22" s="11" t="s">
        <v>1132</v>
      </c>
      <c r="K22" s="9" t="s">
        <v>632</v>
      </c>
      <c r="L22" s="17" t="s">
        <v>1133</v>
      </c>
      <c r="M22" s="11" t="s">
        <v>3231</v>
      </c>
      <c r="N22" s="11" t="s">
        <v>3232</v>
      </c>
      <c r="O22" s="11" t="s">
        <v>3233</v>
      </c>
      <c r="P22" s="11" t="s">
        <v>3234</v>
      </c>
      <c r="Q22" s="11" t="s">
        <v>3235</v>
      </c>
      <c r="R22" s="11" t="s">
        <v>3236</v>
      </c>
      <c r="S22" s="9" t="s">
        <v>1261</v>
      </c>
      <c r="T22" s="11" t="s">
        <v>3237</v>
      </c>
      <c r="U22" s="11"/>
      <c r="V22" s="9" t="s">
        <v>797</v>
      </c>
      <c r="W22" s="11" t="s">
        <v>3238</v>
      </c>
    </row>
    <row r="23" customFormat="false" ht="280.5" hidden="false" customHeight="true" outlineLevel="0" collapsed="false">
      <c r="A23" s="11" t="n">
        <v>19</v>
      </c>
      <c r="B23" s="8" t="s">
        <v>633</v>
      </c>
      <c r="C23" s="11" t="s">
        <v>546</v>
      </c>
      <c r="D23" s="17" t="s">
        <v>2887</v>
      </c>
      <c r="E23" s="9" t="s">
        <v>1251</v>
      </c>
      <c r="F23" s="11" t="s">
        <v>183</v>
      </c>
      <c r="G23" s="11" t="s">
        <v>3239</v>
      </c>
      <c r="H23" s="11" t="s">
        <v>3240</v>
      </c>
      <c r="I23" s="11" t="s">
        <v>3241</v>
      </c>
      <c r="J23" s="11" t="s">
        <v>1134</v>
      </c>
      <c r="K23" s="9" t="s">
        <v>634</v>
      </c>
      <c r="L23" s="17" t="s">
        <v>1135</v>
      </c>
      <c r="M23" s="11" t="s">
        <v>3242</v>
      </c>
      <c r="N23" s="11" t="s">
        <v>3243</v>
      </c>
      <c r="O23" s="11" t="s">
        <v>3244</v>
      </c>
      <c r="P23" s="11" t="s">
        <v>3245</v>
      </c>
      <c r="Q23" s="11" t="s">
        <v>3246</v>
      </c>
      <c r="R23" s="11" t="s">
        <v>3247</v>
      </c>
      <c r="S23" s="9" t="s">
        <v>1261</v>
      </c>
      <c r="T23" s="11" t="s">
        <v>3248</v>
      </c>
      <c r="U23" s="11"/>
      <c r="V23" s="9" t="s">
        <v>789</v>
      </c>
      <c r="W23" s="11" t="s">
        <v>3249</v>
      </c>
    </row>
    <row r="24" customFormat="false" ht="133.5" hidden="false" customHeight="true" outlineLevel="0" collapsed="false">
      <c r="A24" s="11" t="n">
        <v>20</v>
      </c>
      <c r="B24" s="8" t="s">
        <v>635</v>
      </c>
      <c r="C24" s="11" t="s">
        <v>636</v>
      </c>
      <c r="D24" s="17" t="s">
        <v>3250</v>
      </c>
      <c r="E24" s="9" t="s">
        <v>1251</v>
      </c>
      <c r="F24" s="11" t="s">
        <v>183</v>
      </c>
      <c r="G24" s="11" t="s">
        <v>1421</v>
      </c>
      <c r="H24" s="11" t="s">
        <v>3251</v>
      </c>
      <c r="I24" s="11" t="s">
        <v>3252</v>
      </c>
      <c r="J24" s="11" t="s">
        <v>1136</v>
      </c>
      <c r="K24" s="9" t="s">
        <v>637</v>
      </c>
      <c r="L24" s="17" t="s">
        <v>1137</v>
      </c>
      <c r="M24" s="11" t="s">
        <v>3253</v>
      </c>
      <c r="N24" s="11" t="s">
        <v>3254</v>
      </c>
      <c r="O24" s="11" t="s">
        <v>3255</v>
      </c>
      <c r="P24" s="11" t="s">
        <v>3256</v>
      </c>
      <c r="Q24" s="11" t="s">
        <v>3257</v>
      </c>
      <c r="R24" s="11" t="s">
        <v>1273</v>
      </c>
      <c r="S24" s="9" t="s">
        <v>233</v>
      </c>
      <c r="T24" s="11" t="s">
        <v>3258</v>
      </c>
      <c r="U24" s="11"/>
      <c r="V24" s="9" t="s">
        <v>797</v>
      </c>
      <c r="W24" s="11" t="s">
        <v>3259</v>
      </c>
    </row>
    <row r="25" customFormat="false" ht="97.5" hidden="false" customHeight="true" outlineLevel="0" collapsed="false">
      <c r="A25" s="11" t="n">
        <v>21</v>
      </c>
      <c r="B25" s="8" t="s">
        <v>638</v>
      </c>
      <c r="C25" s="11" t="s">
        <v>551</v>
      </c>
      <c r="D25" s="17" t="s">
        <v>1072</v>
      </c>
      <c r="E25" s="9" t="s">
        <v>1276</v>
      </c>
      <c r="F25" s="11" t="s">
        <v>183</v>
      </c>
      <c r="G25" s="11" t="s">
        <v>1421</v>
      </c>
      <c r="H25" s="11" t="s">
        <v>3260</v>
      </c>
      <c r="I25" s="11" t="s">
        <v>3261</v>
      </c>
      <c r="J25" s="11" t="s">
        <v>1138</v>
      </c>
      <c r="K25" s="9" t="s">
        <v>181</v>
      </c>
      <c r="L25" s="17" t="s">
        <v>1072</v>
      </c>
      <c r="M25" s="11" t="s">
        <v>3262</v>
      </c>
      <c r="N25" s="11" t="s">
        <v>3263</v>
      </c>
      <c r="O25" s="11" t="s">
        <v>3264</v>
      </c>
      <c r="P25" s="11" t="s">
        <v>3265</v>
      </c>
      <c r="Q25" s="11" t="s">
        <v>3266</v>
      </c>
      <c r="R25" s="11" t="s">
        <v>1273</v>
      </c>
      <c r="S25" s="9" t="s">
        <v>233</v>
      </c>
      <c r="T25" s="11" t="s">
        <v>3267</v>
      </c>
      <c r="U25" s="11"/>
      <c r="V25" s="9" t="s">
        <v>781</v>
      </c>
      <c r="W25" s="11" t="s">
        <v>3268</v>
      </c>
    </row>
    <row r="26" customFormat="false" ht="97.5" hidden="false" customHeight="true" outlineLevel="0" collapsed="false">
      <c r="A26" s="11" t="n">
        <v>22</v>
      </c>
      <c r="B26" s="8" t="s">
        <v>639</v>
      </c>
      <c r="C26" s="11" t="s">
        <v>640</v>
      </c>
      <c r="D26" s="17" t="s">
        <v>3269</v>
      </c>
      <c r="E26" s="9" t="s">
        <v>1251</v>
      </c>
      <c r="F26" s="11" t="s">
        <v>183</v>
      </c>
      <c r="G26" s="11" t="s">
        <v>3270</v>
      </c>
      <c r="H26" s="11" t="s">
        <v>3271</v>
      </c>
      <c r="I26" s="11" t="s">
        <v>3272</v>
      </c>
      <c r="J26" s="11" t="s">
        <v>1139</v>
      </c>
      <c r="K26" s="9" t="s">
        <v>641</v>
      </c>
      <c r="L26" s="17" t="s">
        <v>1140</v>
      </c>
      <c r="M26" s="11" t="s">
        <v>3273</v>
      </c>
      <c r="N26" s="11" t="s">
        <v>3274</v>
      </c>
      <c r="O26" s="11" t="s">
        <v>3275</v>
      </c>
      <c r="P26" s="11" t="s">
        <v>3276</v>
      </c>
      <c r="Q26" s="11" t="s">
        <v>1795</v>
      </c>
      <c r="R26" s="11" t="s">
        <v>1273</v>
      </c>
      <c r="S26" s="9" t="s">
        <v>233</v>
      </c>
      <c r="T26" s="11" t="s">
        <v>3277</v>
      </c>
      <c r="U26" s="11" t="s">
        <v>3278</v>
      </c>
      <c r="V26" s="9" t="s">
        <v>789</v>
      </c>
      <c r="W26" s="11" t="s">
        <v>3279</v>
      </c>
    </row>
    <row r="27" customFormat="false" ht="72.75" hidden="false" customHeight="true" outlineLevel="0" collapsed="false">
      <c r="A27" s="11" t="n">
        <v>23</v>
      </c>
      <c r="B27" s="8" t="s">
        <v>642</v>
      </c>
      <c r="C27" s="11" t="s">
        <v>643</v>
      </c>
      <c r="D27" s="17" t="s">
        <v>1215</v>
      </c>
      <c r="E27" s="9" t="s">
        <v>1251</v>
      </c>
      <c r="F27" s="11" t="s">
        <v>183</v>
      </c>
      <c r="G27" s="11" t="s">
        <v>1421</v>
      </c>
      <c r="H27" s="11" t="s">
        <v>3280</v>
      </c>
      <c r="I27" s="11" t="s">
        <v>3281</v>
      </c>
      <c r="J27" s="11" t="s">
        <v>1141</v>
      </c>
      <c r="K27" s="9" t="s">
        <v>233</v>
      </c>
      <c r="L27" s="17" t="s">
        <v>1142</v>
      </c>
      <c r="M27" s="11" t="s">
        <v>3282</v>
      </c>
      <c r="N27" s="11" t="s">
        <v>1273</v>
      </c>
      <c r="O27" s="11" t="s">
        <v>3283</v>
      </c>
      <c r="P27" s="11" t="s">
        <v>3284</v>
      </c>
      <c r="Q27" s="11" t="s">
        <v>3285</v>
      </c>
      <c r="R27" s="11" t="s">
        <v>1273</v>
      </c>
      <c r="S27" s="9" t="s">
        <v>233</v>
      </c>
      <c r="T27" s="11" t="s">
        <v>3286</v>
      </c>
      <c r="U27" s="11"/>
      <c r="V27" s="9" t="s">
        <v>789</v>
      </c>
      <c r="W27" s="11" t="s">
        <v>3287</v>
      </c>
    </row>
    <row r="28" customFormat="false" ht="255.75" hidden="false" customHeight="true" outlineLevel="0" collapsed="false">
      <c r="A28" s="11" t="n">
        <v>24</v>
      </c>
      <c r="B28" s="8" t="s">
        <v>644</v>
      </c>
      <c r="C28" s="11" t="s">
        <v>645</v>
      </c>
      <c r="D28" s="17" t="s">
        <v>1144</v>
      </c>
      <c r="E28" s="9" t="s">
        <v>1251</v>
      </c>
      <c r="F28" s="11" t="s">
        <v>646</v>
      </c>
      <c r="G28" s="11" t="s">
        <v>3288</v>
      </c>
      <c r="H28" s="11" t="s">
        <v>3289</v>
      </c>
      <c r="I28" s="11" t="s">
        <v>3290</v>
      </c>
      <c r="J28" s="11" t="s">
        <v>1143</v>
      </c>
      <c r="K28" s="9" t="s">
        <v>647</v>
      </c>
      <c r="L28" s="17" t="s">
        <v>1144</v>
      </c>
      <c r="M28" s="11" t="s">
        <v>3291</v>
      </c>
      <c r="N28" s="11" t="s">
        <v>3136</v>
      </c>
      <c r="O28" s="11" t="s">
        <v>3292</v>
      </c>
      <c r="P28" s="11" t="s">
        <v>3293</v>
      </c>
      <c r="Q28" s="11" t="s">
        <v>3294</v>
      </c>
      <c r="R28" s="11" t="s">
        <v>3295</v>
      </c>
      <c r="S28" s="9" t="s">
        <v>1296</v>
      </c>
      <c r="T28" s="11" t="s">
        <v>3296</v>
      </c>
      <c r="U28" s="11" t="s">
        <v>3297</v>
      </c>
      <c r="V28" s="9" t="s">
        <v>789</v>
      </c>
      <c r="W28" s="11" t="s">
        <v>3298</v>
      </c>
    </row>
    <row r="29" customFormat="false" ht="97.5" hidden="false" customHeight="true" outlineLevel="0" collapsed="false">
      <c r="A29" s="11" t="n">
        <v>25</v>
      </c>
      <c r="B29" s="8" t="s">
        <v>648</v>
      </c>
      <c r="C29" s="11" t="s">
        <v>649</v>
      </c>
      <c r="D29" s="17" t="s">
        <v>3171</v>
      </c>
      <c r="E29" s="9" t="s">
        <v>1251</v>
      </c>
      <c r="F29" s="11" t="s">
        <v>650</v>
      </c>
      <c r="G29" s="11" t="s">
        <v>3299</v>
      </c>
      <c r="H29" s="11" t="s">
        <v>3300</v>
      </c>
      <c r="I29" s="11" t="s">
        <v>3301</v>
      </c>
      <c r="J29" s="11" t="s">
        <v>1145</v>
      </c>
      <c r="K29" s="9" t="s">
        <v>651</v>
      </c>
      <c r="L29" s="17" t="s">
        <v>1121</v>
      </c>
      <c r="M29" s="11" t="s">
        <v>3302</v>
      </c>
      <c r="N29" s="11" t="s">
        <v>3303</v>
      </c>
      <c r="O29" s="11" t="s">
        <v>3304</v>
      </c>
      <c r="P29" s="11" t="s">
        <v>3305</v>
      </c>
      <c r="Q29" s="11" t="s">
        <v>3306</v>
      </c>
      <c r="R29" s="11" t="s">
        <v>3307</v>
      </c>
      <c r="S29" s="9" t="s">
        <v>1310</v>
      </c>
      <c r="T29" s="11" t="s">
        <v>3308</v>
      </c>
      <c r="U29" s="11"/>
      <c r="V29" s="9" t="s">
        <v>797</v>
      </c>
      <c r="W29" s="11" t="s">
        <v>3309</v>
      </c>
    </row>
    <row r="30" customFormat="false" ht="84.75" hidden="false" customHeight="true" outlineLevel="0" collapsed="false">
      <c r="A30" s="11" t="n">
        <v>26</v>
      </c>
      <c r="B30" s="8" t="s">
        <v>652</v>
      </c>
      <c r="C30" s="11" t="s">
        <v>653</v>
      </c>
      <c r="D30" s="17" t="s">
        <v>1147</v>
      </c>
      <c r="E30" s="9" t="s">
        <v>1251</v>
      </c>
      <c r="F30" s="11" t="s">
        <v>467</v>
      </c>
      <c r="G30" s="11" t="s">
        <v>3310</v>
      </c>
      <c r="H30" s="11" t="s">
        <v>3311</v>
      </c>
      <c r="I30" s="11" t="s">
        <v>3312</v>
      </c>
      <c r="J30" s="11" t="s">
        <v>1146</v>
      </c>
      <c r="K30" s="9" t="s">
        <v>491</v>
      </c>
      <c r="L30" s="17" t="s">
        <v>1147</v>
      </c>
      <c r="M30" s="11" t="s">
        <v>3313</v>
      </c>
      <c r="N30" s="11" t="s">
        <v>3314</v>
      </c>
      <c r="O30" s="11" t="s">
        <v>3315</v>
      </c>
      <c r="P30" s="11" t="s">
        <v>3316</v>
      </c>
      <c r="Q30" s="11" t="s">
        <v>1523</v>
      </c>
      <c r="R30" s="11" t="s">
        <v>1524</v>
      </c>
      <c r="S30" s="9" t="s">
        <v>1261</v>
      </c>
      <c r="T30" s="11" t="s">
        <v>3317</v>
      </c>
      <c r="U30" s="11"/>
      <c r="V30" s="9" t="s">
        <v>789</v>
      </c>
      <c r="W30" s="11" t="s">
        <v>3318</v>
      </c>
    </row>
    <row r="31" customFormat="false" ht="72.75" hidden="false" customHeight="true" outlineLevel="0" collapsed="false">
      <c r="A31" s="11" t="n">
        <v>27</v>
      </c>
      <c r="B31" s="8" t="s">
        <v>654</v>
      </c>
      <c r="C31" s="11" t="s">
        <v>655</v>
      </c>
      <c r="D31" s="17" t="s">
        <v>3319</v>
      </c>
      <c r="E31" s="9" t="s">
        <v>1251</v>
      </c>
      <c r="F31" s="11" t="s">
        <v>467</v>
      </c>
      <c r="G31" s="11" t="s">
        <v>3320</v>
      </c>
      <c r="H31" s="11" t="s">
        <v>3321</v>
      </c>
      <c r="I31" s="11" t="s">
        <v>3322</v>
      </c>
      <c r="J31" s="11" t="s">
        <v>1148</v>
      </c>
      <c r="K31" s="9" t="s">
        <v>233</v>
      </c>
      <c r="L31" s="17" t="s">
        <v>1149</v>
      </c>
      <c r="M31" s="11" t="s">
        <v>3323</v>
      </c>
      <c r="N31" s="11" t="s">
        <v>3324</v>
      </c>
      <c r="O31" s="11" t="s">
        <v>3325</v>
      </c>
      <c r="P31" s="11" t="s">
        <v>3326</v>
      </c>
      <c r="Q31" s="11" t="s">
        <v>1523</v>
      </c>
      <c r="R31" s="11" t="s">
        <v>1524</v>
      </c>
      <c r="S31" s="9" t="s">
        <v>1261</v>
      </c>
      <c r="T31" s="11" t="s">
        <v>3327</v>
      </c>
      <c r="U31" s="11"/>
      <c r="V31" s="9" t="s">
        <v>789</v>
      </c>
      <c r="W31" s="11" t="s">
        <v>3328</v>
      </c>
    </row>
    <row r="32" customFormat="false" ht="72.75" hidden="false" customHeight="true" outlineLevel="0" collapsed="false">
      <c r="A32" s="11" t="n">
        <v>28</v>
      </c>
      <c r="B32" s="8" t="s">
        <v>656</v>
      </c>
      <c r="C32" s="11" t="s">
        <v>657</v>
      </c>
      <c r="D32" s="17" t="s">
        <v>3329</v>
      </c>
      <c r="E32" s="9" t="s">
        <v>1251</v>
      </c>
      <c r="F32" s="11" t="s">
        <v>467</v>
      </c>
      <c r="G32" s="11" t="s">
        <v>3330</v>
      </c>
      <c r="H32" s="11" t="s">
        <v>3331</v>
      </c>
      <c r="I32" s="11" t="s">
        <v>3332</v>
      </c>
      <c r="J32" s="11" t="s">
        <v>1148</v>
      </c>
      <c r="K32" s="9" t="s">
        <v>233</v>
      </c>
      <c r="L32" s="17" t="s">
        <v>1150</v>
      </c>
      <c r="M32" s="11" t="s">
        <v>3333</v>
      </c>
      <c r="N32" s="11" t="s">
        <v>3334</v>
      </c>
      <c r="O32" s="11" t="s">
        <v>3335</v>
      </c>
      <c r="P32" s="11" t="s">
        <v>3336</v>
      </c>
      <c r="Q32" s="11" t="s">
        <v>3011</v>
      </c>
      <c r="R32" s="11" t="s">
        <v>1978</v>
      </c>
      <c r="S32" s="9" t="s">
        <v>1261</v>
      </c>
      <c r="T32" s="11" t="s">
        <v>3337</v>
      </c>
      <c r="U32" s="11"/>
      <c r="V32" s="9" t="s">
        <v>781</v>
      </c>
      <c r="W32" s="11" t="s">
        <v>3338</v>
      </c>
    </row>
  </sheetData>
  <autoFilter ref="A4:W32"/>
  <conditionalFormatting sqref="K5:K32">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32">
    <cfRule type="cellIs" priority="6" operator="equal" aboveAverage="0" equalAverage="0" bottom="0" percent="0" rank="0" text="" dxfId="15">
      <formula>"Yes"</formula>
    </cfRule>
  </conditionalFormatting>
  <hyperlinks>
    <hyperlink ref="D5" r:id="rId1" display="https://www.aptori.com/"/>
    <hyperlink ref="L5" r:id="rId2" display="https://www.helpnetsecurity.com/2026/04/27/aptori-autonomous-offensive-testing-capabilities/"/>
    <hyperlink ref="D6" r:id="rId3" display="https://www.armorcode.com/platform"/>
    <hyperlink ref="L6" r:id="rId4" display="https://www.armorcode.com/platform"/>
    <hyperlink ref="D7" r:id="rId5" display="https://www.convisoappsec.com/conviso-platform"/>
    <hyperlink ref="L7" r:id="rId6" display="https://blog.convisoappsec.com/en/automation-of-security-requirements-with-the-conviso-platform-api/"/>
    <hyperlink ref="D8" r:id="rId7" display="https://www.securitycompass.com/devici/"/>
    <hyperlink ref="L8" r:id="rId8" display="https://www.securitycompass.com/devici/"/>
    <hyperlink ref="D9" r:id="rId9" display="https://www.ibm.com/products/requirements-management"/>
    <hyperlink ref="L9" r:id="rId10" display="https://www.ibm.com/products/requirements-management"/>
    <hyperlink ref="D10" r:id="rId11" display="https://www.iriusrisk.com/threat-modeling-platform"/>
    <hyperlink ref="L10" r:id="rId12" display="https://www.iriusrisk.com/documentation/use-our-ai-assistant-jeff"/>
    <hyperlink ref="D11" r:id="rId13" display="https://www.jamasoftware.com/platform/jama-connect/"/>
    <hyperlink ref="L11" r:id="rId14" display="https://www.jamasoftware.com/platform/jama-connect/"/>
    <hyperlink ref="D12" r:id="rId15" display="https://marketplace.atlassian.com/apps/1212220/requirement-yogi-for-jira"/>
    <hyperlink ref="L12" r:id="rId16" display="https://www.getxray.app/"/>
    <hyperlink ref="D13" r:id="rId17" display="https://www.jit.io/aspm-platform/security-plans"/>
    <hyperlink ref="L13" r:id="rId18" display="https://appsecsanta.com/jit"/>
    <hyperlink ref="D14" r:id="rId19" display="https://www.invicti.com/"/>
    <hyperlink ref="L14" r:id="rId20" display="https://www.invicti.com/blog/news/invicti-acquires-kondukto-to-deliver-proof-based-aspm"/>
    <hyperlink ref="D15" r:id="rId21" display="https://cheatsheetseries.owasp.org/"/>
    <hyperlink ref="L15" r:id="rId22" display="https://cheatsheetseries.owasp.org/"/>
    <hyperlink ref="D16" r:id="rId23" display="https://github.com/OWASP/ASVS"/>
    <hyperlink ref="L16" r:id="rId24" display="https://medium.com/@clintcan/building-an-owasp-asvs-mcp-server-eb56ace0ceb8"/>
    <hyperlink ref="D17" r:id="rId25" display="https://mas.owasp.org/"/>
    <hyperlink ref="L17" r:id="rId26" display="https://mas.owasp.org/"/>
    <hyperlink ref="D18" r:id="rId27" display="https://owaspsamm.org/"/>
    <hyperlink ref="L18" r:id="rId28" display="https://owaspsamm.org/blog/"/>
    <hyperlink ref="D19" r:id="rId29" display="https://www.primesec.ai/"/>
    <hyperlink ref="L19" r:id="rId30" display="https://www.primesec.ai/resources/prime-security-is-now-ga"/>
    <hyperlink ref="D20" r:id="rId31" display="https://www.remysec.com/"/>
    <hyperlink ref="L20" r:id="rId32" display="https://www.ycombinator.com/companies/remy-security"/>
    <hyperlink ref="D21" r:id="rId33" display="https://requirementone.com/"/>
    <hyperlink ref="L21" r:id="rId34" display="https://requirementone.com/"/>
    <hyperlink ref="D22" r:id="rId35" display="https://sammy.codific.com/"/>
    <hyperlink ref="L22" r:id="rId36" display="https://sammy.codific.com/"/>
    <hyperlink ref="D23" r:id="rId37" display="https://www.securitycompass.com/sdelements/"/>
    <hyperlink ref="L23" r:id="rId38" display="https://docs.sdelements.com/master/guide/docs/release_notes/"/>
    <hyperlink ref="D24" r:id="rId39" display="https://www.securecodewarrior.com/product/ai-software-governance"/>
    <hyperlink ref="L24" r:id="rId40" display="https://www.helpnetsecurity.com/2026/03/17/secure-code-warrior-trust-agent-ai-governance/"/>
    <hyperlink ref="D25" r:id="rId41" display="https://seezo.io/"/>
    <hyperlink ref="L25" r:id="rId42" display="https://seezo.io/"/>
    <hyperlink ref="D26" r:id="rId43" display="https://www.threatmodeler.ai/platform"/>
    <hyperlink ref="L26" r:id="rId44" display="https://www.helpnetsecurity.com/2026/06/26/threatmodeler-introduces-nexus-to-automate-threat-modeling-with-ai-governance/"/>
    <hyperlink ref="D27" r:id="rId45" display="https://www.tromzo.com/"/>
    <hyperlink ref="L27" r:id="rId46" display="https://checkmarx.com/press-releases/checkmarx-acquires-tromzo-to-launch-new-era-of-application-security/"/>
    <hyperlink ref="D28" r:id="rId47" display="https://docs.gitlab.com/user/application_security/"/>
    <hyperlink ref="L28" r:id="rId48" display="https://docs.gitlab.com/user/application_security/"/>
    <hyperlink ref="D29" r:id="rId49" display="https://github.com/OWASP/ASVS"/>
    <hyperlink ref="L29" r:id="rId50" display="https://medium.com/@clintcan/building-an-owasp-asvs-mcp-server-eb56ace0ceb8"/>
    <hyperlink ref="D30" r:id="rId51" display="https://www.opencre.org/"/>
    <hyperlink ref="L30" r:id="rId52" display="https://www.opencre.org/"/>
    <hyperlink ref="D31" r:id="rId53" display="https://dsomm.owasp.org/"/>
    <hyperlink ref="L31" r:id="rId54" display="https://github.com/devsecopsmaturitymodel/DevSecOps-MaturityModel"/>
    <hyperlink ref="D32" r:id="rId55" display="https://securityrat.org/"/>
    <hyperlink ref="L32" r:id="rId56" display="https://github.com/SecurityRAT/SecurityR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7"/>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W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4"/>
    <col collapsed="false" customWidth="true" hidden="false" outlineLevel="0" max="9" min="9" style="0" width="48"/>
    <col collapsed="false" customWidth="true" hidden="false" outlineLevel="0" max="10" min="10" style="0" width="60"/>
    <col collapsed="false" customWidth="true" hidden="false" outlineLevel="0" max="11" min="11" style="0" width="14"/>
    <col collapsed="false" customWidth="true" hidden="false" outlineLevel="0" max="12" min="12" style="0" width="30"/>
    <col collapsed="false" customWidth="true" hidden="false" outlineLevel="0" max="13" min="13" style="0" width="34"/>
    <col collapsed="false" customWidth="true" hidden="false" outlineLevel="0" max="14" min="14" style="0" width="36"/>
    <col collapsed="false" customWidth="true" hidden="false" outlineLevel="0" max="15" min="15" style="0" width="30"/>
    <col collapsed="false" customWidth="true" hidden="false" outlineLevel="0" max="16" min="16" style="0" width="44"/>
    <col collapsed="false" customWidth="true" hidden="false" outlineLevel="0" max="17" min="17" style="0" width="20"/>
    <col collapsed="false" customWidth="true" hidden="false" outlineLevel="0" max="18" min="18" style="0" width="26"/>
    <col collapsed="false" customWidth="true" hidden="false" outlineLevel="0" max="19" min="19" style="0" width="11"/>
    <col collapsed="false" customWidth="true" hidden="false" outlineLevel="0" max="20" min="20" style="0" width="34"/>
    <col collapsed="false" customWidth="true" hidden="false" outlineLevel="0" max="21" min="21" style="0" width="44"/>
    <col collapsed="false" customWidth="true" hidden="false" outlineLevel="0" max="22" min="22" style="0" width="11"/>
    <col collapsed="false" customWidth="true" hidden="false" outlineLevel="0" max="23" min="23" style="0" width="40"/>
  </cols>
  <sheetData>
    <row r="1" customFormat="false" ht="19.7" hidden="false" customHeight="false" outlineLevel="0" collapsed="false">
      <c r="A1" s="1" t="s">
        <v>3339</v>
      </c>
    </row>
    <row r="2" customFormat="false" ht="15" hidden="false" customHeight="false" outlineLevel="0" collapsed="false">
      <c r="A2" s="2" t="s">
        <v>3340</v>
      </c>
    </row>
    <row r="4" customFormat="false" ht="31.5" hidden="false" customHeight="true" outlineLevel="0" collapsed="false">
      <c r="A4" s="7" t="s">
        <v>1234</v>
      </c>
      <c r="B4" s="7" t="s">
        <v>69</v>
      </c>
      <c r="C4" s="7" t="s">
        <v>167</v>
      </c>
      <c r="D4" s="7" t="s">
        <v>1235</v>
      </c>
      <c r="E4" s="7" t="s">
        <v>1236</v>
      </c>
      <c r="F4" s="7" t="s">
        <v>168</v>
      </c>
      <c r="G4" s="7" t="s">
        <v>1237</v>
      </c>
      <c r="H4" s="7" t="s">
        <v>1238</v>
      </c>
      <c r="I4" s="7" t="s">
        <v>1239</v>
      </c>
      <c r="J4" s="7" t="s">
        <v>776</v>
      </c>
      <c r="K4" s="7" t="s">
        <v>155</v>
      </c>
      <c r="L4" s="7" t="s">
        <v>777</v>
      </c>
      <c r="M4" s="7" t="s">
        <v>1240</v>
      </c>
      <c r="N4" s="7" t="s">
        <v>1241</v>
      </c>
      <c r="O4" s="7" t="s">
        <v>1242</v>
      </c>
      <c r="P4" s="7" t="s">
        <v>1243</v>
      </c>
      <c r="Q4" s="7" t="s">
        <v>1244</v>
      </c>
      <c r="R4" s="7" t="s">
        <v>1245</v>
      </c>
      <c r="S4" s="7" t="s">
        <v>1246</v>
      </c>
      <c r="T4" s="7" t="s">
        <v>1247</v>
      </c>
      <c r="U4" s="7" t="s">
        <v>1248</v>
      </c>
      <c r="V4" s="7" t="s">
        <v>778</v>
      </c>
      <c r="W4" s="7" t="s">
        <v>1249</v>
      </c>
    </row>
    <row r="5" customFormat="false" ht="170.25" hidden="false" customHeight="true" outlineLevel="0" collapsed="false">
      <c r="A5" s="11" t="n">
        <v>1</v>
      </c>
      <c r="B5" s="8" t="s">
        <v>178</v>
      </c>
      <c r="C5" s="11" t="s">
        <v>179</v>
      </c>
      <c r="D5" s="17" t="s">
        <v>1250</v>
      </c>
      <c r="E5" s="9" t="s">
        <v>1251</v>
      </c>
      <c r="F5" s="11" t="s">
        <v>658</v>
      </c>
      <c r="G5" s="11" t="s">
        <v>3341</v>
      </c>
      <c r="H5" s="11" t="s">
        <v>3342</v>
      </c>
      <c r="I5" s="11" t="s">
        <v>3343</v>
      </c>
      <c r="J5" s="11" t="s">
        <v>1151</v>
      </c>
      <c r="K5" s="9" t="s">
        <v>659</v>
      </c>
      <c r="L5" s="17" t="s">
        <v>1152</v>
      </c>
      <c r="M5" s="11" t="s">
        <v>3344</v>
      </c>
      <c r="N5" s="11" t="s">
        <v>3345</v>
      </c>
      <c r="O5" s="11" t="s">
        <v>3346</v>
      </c>
      <c r="P5" s="11" t="s">
        <v>3347</v>
      </c>
      <c r="Q5" s="11" t="s">
        <v>3348</v>
      </c>
      <c r="R5" s="11" t="s">
        <v>3349</v>
      </c>
      <c r="S5" s="9" t="s">
        <v>1261</v>
      </c>
      <c r="T5" s="11" t="s">
        <v>3350</v>
      </c>
      <c r="U5" s="11" t="s">
        <v>3351</v>
      </c>
      <c r="V5" s="9" t="s">
        <v>781</v>
      </c>
      <c r="W5" s="11" t="s">
        <v>3352</v>
      </c>
    </row>
    <row r="6" customFormat="false" ht="36" hidden="false" customHeight="true" outlineLevel="0" collapsed="false">
      <c r="A6" s="11" t="n">
        <v>2</v>
      </c>
      <c r="B6" s="8" t="s">
        <v>660</v>
      </c>
      <c r="C6" s="11" t="s">
        <v>182</v>
      </c>
      <c r="D6" s="17" t="s">
        <v>1154</v>
      </c>
      <c r="E6" s="9" t="s">
        <v>1276</v>
      </c>
      <c r="F6" s="11" t="s">
        <v>183</v>
      </c>
      <c r="G6" s="11" t="s">
        <v>3353</v>
      </c>
      <c r="H6" s="11" t="s">
        <v>3354</v>
      </c>
      <c r="I6" s="11" t="s">
        <v>3355</v>
      </c>
      <c r="J6" s="11" t="s">
        <v>1153</v>
      </c>
      <c r="K6" s="9" t="s">
        <v>661</v>
      </c>
      <c r="L6" s="17" t="s">
        <v>1154</v>
      </c>
      <c r="M6" s="11" t="s">
        <v>3356</v>
      </c>
      <c r="N6" s="11" t="s">
        <v>1273</v>
      </c>
      <c r="O6" s="11" t="s">
        <v>1270</v>
      </c>
      <c r="P6" s="11" t="s">
        <v>3357</v>
      </c>
      <c r="Q6" s="11" t="s">
        <v>1273</v>
      </c>
      <c r="R6" s="11" t="s">
        <v>1273</v>
      </c>
      <c r="S6" s="9" t="s">
        <v>233</v>
      </c>
      <c r="T6" s="11" t="s">
        <v>3358</v>
      </c>
      <c r="U6" s="11"/>
      <c r="V6" s="9" t="s">
        <v>786</v>
      </c>
      <c r="W6" s="11" t="s">
        <v>1154</v>
      </c>
    </row>
    <row r="7" customFormat="false" ht="121.5" hidden="false" customHeight="true" outlineLevel="0" collapsed="false">
      <c r="A7" s="11" t="n">
        <v>3</v>
      </c>
      <c r="B7" s="8" t="s">
        <v>662</v>
      </c>
      <c r="C7" s="11" t="s">
        <v>663</v>
      </c>
      <c r="D7" s="17" t="s">
        <v>1156</v>
      </c>
      <c r="E7" s="9" t="s">
        <v>1251</v>
      </c>
      <c r="F7" s="11" t="s">
        <v>183</v>
      </c>
      <c r="G7" s="11" t="s">
        <v>3359</v>
      </c>
      <c r="H7" s="11" t="s">
        <v>3360</v>
      </c>
      <c r="I7" s="11" t="s">
        <v>3361</v>
      </c>
      <c r="J7" s="11" t="s">
        <v>1155</v>
      </c>
      <c r="K7" s="9" t="s">
        <v>664</v>
      </c>
      <c r="L7" s="17" t="s">
        <v>1156</v>
      </c>
      <c r="M7" s="11" t="s">
        <v>3362</v>
      </c>
      <c r="N7" s="11" t="s">
        <v>3363</v>
      </c>
      <c r="O7" s="11" t="s">
        <v>3364</v>
      </c>
      <c r="P7" s="11" t="s">
        <v>3365</v>
      </c>
      <c r="Q7" s="11" t="s">
        <v>3366</v>
      </c>
      <c r="R7" s="11" t="s">
        <v>1273</v>
      </c>
      <c r="S7" s="9" t="s">
        <v>233</v>
      </c>
      <c r="T7" s="11" t="s">
        <v>3367</v>
      </c>
      <c r="U7" s="11" t="s">
        <v>3368</v>
      </c>
      <c r="V7" s="9" t="s">
        <v>794</v>
      </c>
      <c r="W7" s="11" t="s">
        <v>3369</v>
      </c>
    </row>
    <row r="8" customFormat="false" ht="97.5" hidden="false" customHeight="true" outlineLevel="0" collapsed="false">
      <c r="A8" s="11" t="n">
        <v>4</v>
      </c>
      <c r="B8" s="8" t="s">
        <v>665</v>
      </c>
      <c r="C8" s="11" t="s">
        <v>498</v>
      </c>
      <c r="D8" s="17" t="s">
        <v>1158</v>
      </c>
      <c r="E8" s="9" t="s">
        <v>1276</v>
      </c>
      <c r="F8" s="11" t="s">
        <v>183</v>
      </c>
      <c r="G8" s="11" t="s">
        <v>3370</v>
      </c>
      <c r="H8" s="11" t="s">
        <v>3371</v>
      </c>
      <c r="I8" s="11" t="s">
        <v>3372</v>
      </c>
      <c r="J8" s="11" t="s">
        <v>1157</v>
      </c>
      <c r="K8" s="9" t="s">
        <v>666</v>
      </c>
      <c r="L8" s="17" t="s">
        <v>1158</v>
      </c>
      <c r="M8" s="11" t="s">
        <v>3373</v>
      </c>
      <c r="N8" s="11" t="s">
        <v>1273</v>
      </c>
      <c r="O8" s="11" t="s">
        <v>1270</v>
      </c>
      <c r="P8" s="11" t="s">
        <v>3374</v>
      </c>
      <c r="Q8" s="11" t="s">
        <v>3266</v>
      </c>
      <c r="R8" s="11" t="s">
        <v>1273</v>
      </c>
      <c r="S8" s="9" t="s">
        <v>233</v>
      </c>
      <c r="T8" s="11" t="s">
        <v>3375</v>
      </c>
      <c r="U8" s="11"/>
      <c r="V8" s="9" t="s">
        <v>786</v>
      </c>
      <c r="W8" s="11" t="s">
        <v>1158</v>
      </c>
    </row>
    <row r="9" customFormat="false" ht="133.5" hidden="false" customHeight="true" outlineLevel="0" collapsed="false">
      <c r="A9" s="11" t="n">
        <v>5</v>
      </c>
      <c r="B9" s="8" t="s">
        <v>667</v>
      </c>
      <c r="C9" s="11" t="s">
        <v>594</v>
      </c>
      <c r="D9" s="17" t="s">
        <v>1160</v>
      </c>
      <c r="E9" s="9" t="s">
        <v>1251</v>
      </c>
      <c r="F9" s="11" t="s">
        <v>183</v>
      </c>
      <c r="G9" s="11" t="s">
        <v>3376</v>
      </c>
      <c r="H9" s="11" t="s">
        <v>3377</v>
      </c>
      <c r="I9" s="11" t="s">
        <v>3378</v>
      </c>
      <c r="J9" s="11" t="s">
        <v>1159</v>
      </c>
      <c r="K9" s="9" t="s">
        <v>668</v>
      </c>
      <c r="L9" s="17" t="s">
        <v>1160</v>
      </c>
      <c r="M9" s="11" t="s">
        <v>3379</v>
      </c>
      <c r="N9" s="11" t="s">
        <v>3380</v>
      </c>
      <c r="O9" s="11" t="s">
        <v>3381</v>
      </c>
      <c r="P9" s="11" t="s">
        <v>3382</v>
      </c>
      <c r="Q9" s="11" t="s">
        <v>3383</v>
      </c>
      <c r="R9" s="11" t="s">
        <v>3384</v>
      </c>
      <c r="S9" s="9" t="s">
        <v>1296</v>
      </c>
      <c r="T9" s="11" t="s">
        <v>3385</v>
      </c>
      <c r="U9" s="11"/>
      <c r="V9" s="9" t="s">
        <v>797</v>
      </c>
      <c r="W9" s="11" t="s">
        <v>3386</v>
      </c>
    </row>
    <row r="10" customFormat="false" ht="170.25" hidden="false" customHeight="true" outlineLevel="0" collapsed="false">
      <c r="A10" s="11" t="n">
        <v>6</v>
      </c>
      <c r="B10" s="8" t="s">
        <v>669</v>
      </c>
      <c r="C10" s="11" t="s">
        <v>670</v>
      </c>
      <c r="D10" s="17" t="s">
        <v>3387</v>
      </c>
      <c r="E10" s="9" t="s">
        <v>1251</v>
      </c>
      <c r="F10" s="11" t="s">
        <v>183</v>
      </c>
      <c r="G10" s="11" t="s">
        <v>3388</v>
      </c>
      <c r="H10" s="11" t="s">
        <v>3389</v>
      </c>
      <c r="I10" s="11" t="s">
        <v>3390</v>
      </c>
      <c r="J10" s="11" t="s">
        <v>1161</v>
      </c>
      <c r="K10" s="9" t="s">
        <v>671</v>
      </c>
      <c r="L10" s="17" t="s">
        <v>1162</v>
      </c>
      <c r="M10" s="11" t="s">
        <v>3391</v>
      </c>
      <c r="N10" s="11" t="s">
        <v>3392</v>
      </c>
      <c r="O10" s="11" t="s">
        <v>3393</v>
      </c>
      <c r="P10" s="11" t="s">
        <v>3394</v>
      </c>
      <c r="Q10" s="11" t="s">
        <v>3395</v>
      </c>
      <c r="R10" s="11" t="s">
        <v>3396</v>
      </c>
      <c r="S10" s="9" t="s">
        <v>1296</v>
      </c>
      <c r="T10" s="11" t="s">
        <v>3397</v>
      </c>
      <c r="U10" s="11" t="s">
        <v>3398</v>
      </c>
      <c r="V10" s="9" t="s">
        <v>789</v>
      </c>
      <c r="W10" s="11" t="s">
        <v>3399</v>
      </c>
    </row>
    <row r="11" customFormat="false" ht="183" hidden="false" customHeight="true" outlineLevel="0" collapsed="false">
      <c r="A11" s="11" t="n">
        <v>7</v>
      </c>
      <c r="B11" s="8" t="s">
        <v>72</v>
      </c>
      <c r="C11" s="11" t="s">
        <v>672</v>
      </c>
      <c r="D11" s="17" t="s">
        <v>3400</v>
      </c>
      <c r="E11" s="9" t="s">
        <v>1251</v>
      </c>
      <c r="F11" s="11" t="s">
        <v>183</v>
      </c>
      <c r="G11" s="11" t="s">
        <v>3401</v>
      </c>
      <c r="H11" s="11" t="s">
        <v>3402</v>
      </c>
      <c r="I11" s="11" t="s">
        <v>3403</v>
      </c>
      <c r="J11" s="11" t="s">
        <v>1163</v>
      </c>
      <c r="K11" s="9" t="s">
        <v>673</v>
      </c>
      <c r="L11" s="17" t="s">
        <v>1164</v>
      </c>
      <c r="M11" s="11" t="s">
        <v>3404</v>
      </c>
      <c r="N11" s="11" t="s">
        <v>3405</v>
      </c>
      <c r="O11" s="11" t="s">
        <v>3406</v>
      </c>
      <c r="P11" s="11" t="s">
        <v>3407</v>
      </c>
      <c r="Q11" s="11" t="s">
        <v>3408</v>
      </c>
      <c r="R11" s="11" t="s">
        <v>3409</v>
      </c>
      <c r="S11" s="9" t="s">
        <v>1296</v>
      </c>
      <c r="T11" s="11" t="s">
        <v>3410</v>
      </c>
      <c r="U11" s="11" t="s">
        <v>3411</v>
      </c>
      <c r="V11" s="9" t="s">
        <v>789</v>
      </c>
      <c r="W11" s="11" t="s">
        <v>3412</v>
      </c>
    </row>
    <row r="12" customFormat="false" ht="133.5" hidden="false" customHeight="true" outlineLevel="0" collapsed="false">
      <c r="A12" s="11" t="n">
        <v>8</v>
      </c>
      <c r="B12" s="8" t="s">
        <v>674</v>
      </c>
      <c r="C12" s="11" t="s">
        <v>675</v>
      </c>
      <c r="D12" s="17" t="s">
        <v>3413</v>
      </c>
      <c r="E12" s="9" t="s">
        <v>1276</v>
      </c>
      <c r="F12" s="11" t="s">
        <v>183</v>
      </c>
      <c r="G12" s="11" t="s">
        <v>3414</v>
      </c>
      <c r="H12" s="11" t="s">
        <v>3415</v>
      </c>
      <c r="I12" s="11" t="s">
        <v>3416</v>
      </c>
      <c r="J12" s="11" t="s">
        <v>1165</v>
      </c>
      <c r="K12" s="9" t="s">
        <v>676</v>
      </c>
      <c r="L12" s="17" t="s">
        <v>1166</v>
      </c>
      <c r="M12" s="11" t="s">
        <v>3417</v>
      </c>
      <c r="N12" s="11" t="s">
        <v>1273</v>
      </c>
      <c r="O12" s="11" t="s">
        <v>1270</v>
      </c>
      <c r="P12" s="11" t="s">
        <v>3418</v>
      </c>
      <c r="Q12" s="11" t="s">
        <v>1273</v>
      </c>
      <c r="R12" s="11" t="s">
        <v>1273</v>
      </c>
      <c r="S12" s="9" t="s">
        <v>233</v>
      </c>
      <c r="T12" s="11" t="s">
        <v>3419</v>
      </c>
      <c r="U12" s="11"/>
      <c r="V12" s="9" t="s">
        <v>797</v>
      </c>
      <c r="W12" s="11" t="s">
        <v>1209</v>
      </c>
    </row>
    <row r="13" customFormat="false" ht="109.5" hidden="false" customHeight="true" outlineLevel="0" collapsed="false">
      <c r="A13" s="11" t="n">
        <v>9</v>
      </c>
      <c r="B13" s="8" t="s">
        <v>677</v>
      </c>
      <c r="C13" s="11" t="s">
        <v>193</v>
      </c>
      <c r="D13" s="17" t="s">
        <v>1168</v>
      </c>
      <c r="E13" s="9" t="s">
        <v>1251</v>
      </c>
      <c r="F13" s="11" t="s">
        <v>183</v>
      </c>
      <c r="G13" s="11" t="s">
        <v>3420</v>
      </c>
      <c r="H13" s="11" t="s">
        <v>3421</v>
      </c>
      <c r="I13" s="11" t="s">
        <v>3422</v>
      </c>
      <c r="J13" s="11" t="s">
        <v>1167</v>
      </c>
      <c r="K13" s="9" t="s">
        <v>678</v>
      </c>
      <c r="L13" s="17" t="s">
        <v>1168</v>
      </c>
      <c r="M13" s="11" t="s">
        <v>3423</v>
      </c>
      <c r="N13" s="11" t="s">
        <v>3424</v>
      </c>
      <c r="O13" s="11" t="s">
        <v>3425</v>
      </c>
      <c r="P13" s="11" t="s">
        <v>3426</v>
      </c>
      <c r="Q13" s="11" t="s">
        <v>3427</v>
      </c>
      <c r="R13" s="11" t="s">
        <v>1273</v>
      </c>
      <c r="S13" s="9" t="s">
        <v>233</v>
      </c>
      <c r="T13" s="11" t="s">
        <v>3428</v>
      </c>
      <c r="U13" s="11"/>
      <c r="V13" s="9" t="s">
        <v>786</v>
      </c>
      <c r="W13" s="11" t="s">
        <v>1168</v>
      </c>
    </row>
    <row r="14" customFormat="false" ht="133.5" hidden="false" customHeight="true" outlineLevel="0" collapsed="false">
      <c r="A14" s="11" t="n">
        <v>10</v>
      </c>
      <c r="B14" s="8" t="s">
        <v>679</v>
      </c>
      <c r="C14" s="11" t="s">
        <v>680</v>
      </c>
      <c r="D14" s="17" t="s">
        <v>1170</v>
      </c>
      <c r="E14" s="9" t="s">
        <v>1276</v>
      </c>
      <c r="F14" s="11" t="s">
        <v>183</v>
      </c>
      <c r="G14" s="11" t="s">
        <v>3429</v>
      </c>
      <c r="H14" s="11" t="s">
        <v>3430</v>
      </c>
      <c r="I14" s="11" t="s">
        <v>3431</v>
      </c>
      <c r="J14" s="11" t="s">
        <v>1169</v>
      </c>
      <c r="K14" s="9" t="s">
        <v>181</v>
      </c>
      <c r="L14" s="17" t="s">
        <v>1170</v>
      </c>
      <c r="M14" s="11" t="s">
        <v>3432</v>
      </c>
      <c r="N14" s="11" t="s">
        <v>3433</v>
      </c>
      <c r="O14" s="11" t="s">
        <v>1270</v>
      </c>
      <c r="P14" s="11" t="s">
        <v>3434</v>
      </c>
      <c r="Q14" s="11" t="s">
        <v>3435</v>
      </c>
      <c r="R14" s="11" t="s">
        <v>1273</v>
      </c>
      <c r="S14" s="9" t="s">
        <v>233</v>
      </c>
      <c r="T14" s="11" t="s">
        <v>3436</v>
      </c>
      <c r="U14" s="11" t="s">
        <v>3437</v>
      </c>
      <c r="V14" s="9" t="s">
        <v>794</v>
      </c>
      <c r="W14" s="11" t="s">
        <v>1170</v>
      </c>
    </row>
    <row r="15" customFormat="false" ht="97.5" hidden="false" customHeight="true" outlineLevel="0" collapsed="false">
      <c r="A15" s="11" t="n">
        <v>11</v>
      </c>
      <c r="B15" s="8" t="s">
        <v>681</v>
      </c>
      <c r="C15" s="11" t="s">
        <v>448</v>
      </c>
      <c r="D15" s="17" t="s">
        <v>1172</v>
      </c>
      <c r="E15" s="9" t="s">
        <v>1251</v>
      </c>
      <c r="F15" s="11" t="s">
        <v>183</v>
      </c>
      <c r="G15" s="11" t="s">
        <v>3438</v>
      </c>
      <c r="H15" s="11" t="s">
        <v>3439</v>
      </c>
      <c r="I15" s="11" t="s">
        <v>3440</v>
      </c>
      <c r="J15" s="11" t="s">
        <v>1171</v>
      </c>
      <c r="K15" s="9" t="s">
        <v>682</v>
      </c>
      <c r="L15" s="17" t="s">
        <v>1172</v>
      </c>
      <c r="M15" s="11" t="s">
        <v>3441</v>
      </c>
      <c r="N15" s="11" t="s">
        <v>3442</v>
      </c>
      <c r="O15" s="11" t="s">
        <v>3443</v>
      </c>
      <c r="P15" s="11" t="s">
        <v>3444</v>
      </c>
      <c r="Q15" s="11" t="s">
        <v>3445</v>
      </c>
      <c r="R15" s="11" t="s">
        <v>3446</v>
      </c>
      <c r="S15" s="9" t="s">
        <v>1296</v>
      </c>
      <c r="T15" s="11" t="s">
        <v>3447</v>
      </c>
      <c r="U15" s="11"/>
      <c r="V15" s="9" t="s">
        <v>781</v>
      </c>
      <c r="W15" s="11" t="s">
        <v>3448</v>
      </c>
    </row>
    <row r="16" customFormat="false" ht="146.25" hidden="false" customHeight="true" outlineLevel="0" collapsed="false">
      <c r="A16" s="11" t="n">
        <v>12</v>
      </c>
      <c r="B16" s="8" t="s">
        <v>683</v>
      </c>
      <c r="C16" s="11" t="s">
        <v>684</v>
      </c>
      <c r="D16" s="17" t="s">
        <v>1174</v>
      </c>
      <c r="E16" s="9" t="s">
        <v>1251</v>
      </c>
      <c r="F16" s="11" t="s">
        <v>183</v>
      </c>
      <c r="G16" s="11" t="s">
        <v>3449</v>
      </c>
      <c r="H16" s="11" t="s">
        <v>3450</v>
      </c>
      <c r="I16" s="11" t="s">
        <v>3451</v>
      </c>
      <c r="J16" s="11" t="s">
        <v>1173</v>
      </c>
      <c r="K16" s="9" t="s">
        <v>685</v>
      </c>
      <c r="L16" s="17" t="s">
        <v>1174</v>
      </c>
      <c r="M16" s="11" t="s">
        <v>3452</v>
      </c>
      <c r="N16" s="11" t="s">
        <v>3453</v>
      </c>
      <c r="O16" s="11" t="s">
        <v>3454</v>
      </c>
      <c r="P16" s="11" t="s">
        <v>3455</v>
      </c>
      <c r="Q16" s="11" t="s">
        <v>3456</v>
      </c>
      <c r="R16" s="11" t="s">
        <v>1273</v>
      </c>
      <c r="S16" s="9" t="s">
        <v>233</v>
      </c>
      <c r="T16" s="11" t="s">
        <v>3457</v>
      </c>
      <c r="U16" s="11" t="s">
        <v>3458</v>
      </c>
      <c r="V16" s="9" t="s">
        <v>794</v>
      </c>
      <c r="W16" s="11" t="s">
        <v>3459</v>
      </c>
    </row>
    <row r="17" customFormat="false" ht="121.5" hidden="false" customHeight="true" outlineLevel="0" collapsed="false">
      <c r="A17" s="11" t="n">
        <v>13</v>
      </c>
      <c r="B17" s="8" t="s">
        <v>686</v>
      </c>
      <c r="C17" s="11" t="s">
        <v>271</v>
      </c>
      <c r="D17" s="17" t="s">
        <v>1176</v>
      </c>
      <c r="E17" s="9" t="s">
        <v>1251</v>
      </c>
      <c r="F17" s="11" t="s">
        <v>183</v>
      </c>
      <c r="G17" s="11" t="s">
        <v>3460</v>
      </c>
      <c r="H17" s="11" t="s">
        <v>3461</v>
      </c>
      <c r="I17" s="11" t="s">
        <v>3462</v>
      </c>
      <c r="J17" s="11" t="s">
        <v>1175</v>
      </c>
      <c r="K17" s="9" t="s">
        <v>687</v>
      </c>
      <c r="L17" s="17" t="s">
        <v>1176</v>
      </c>
      <c r="M17" s="11" t="s">
        <v>3463</v>
      </c>
      <c r="N17" s="11" t="s">
        <v>3464</v>
      </c>
      <c r="O17" s="11" t="s">
        <v>3465</v>
      </c>
      <c r="P17" s="11" t="s">
        <v>3466</v>
      </c>
      <c r="Q17" s="11" t="s">
        <v>3467</v>
      </c>
      <c r="R17" s="11" t="s">
        <v>1273</v>
      </c>
      <c r="S17" s="9" t="s">
        <v>233</v>
      </c>
      <c r="T17" s="11" t="s">
        <v>3468</v>
      </c>
      <c r="U17" s="11" t="s">
        <v>3469</v>
      </c>
      <c r="V17" s="9" t="s">
        <v>797</v>
      </c>
      <c r="W17" s="11" t="s">
        <v>3470</v>
      </c>
    </row>
    <row r="18" customFormat="false" ht="109.5" hidden="false" customHeight="true" outlineLevel="0" collapsed="false">
      <c r="A18" s="11" t="n">
        <v>14</v>
      </c>
      <c r="B18" s="8" t="s">
        <v>688</v>
      </c>
      <c r="C18" s="11" t="s">
        <v>197</v>
      </c>
      <c r="D18" s="17" t="s">
        <v>1178</v>
      </c>
      <c r="E18" s="9" t="s">
        <v>1276</v>
      </c>
      <c r="F18" s="11" t="s">
        <v>183</v>
      </c>
      <c r="G18" s="11" t="s">
        <v>1421</v>
      </c>
      <c r="H18" s="11" t="s">
        <v>3471</v>
      </c>
      <c r="I18" s="11" t="s">
        <v>3472</v>
      </c>
      <c r="J18" s="11" t="s">
        <v>1177</v>
      </c>
      <c r="K18" s="9" t="s">
        <v>181</v>
      </c>
      <c r="L18" s="17" t="s">
        <v>1178</v>
      </c>
      <c r="M18" s="11" t="s">
        <v>3473</v>
      </c>
      <c r="N18" s="11" t="s">
        <v>3474</v>
      </c>
      <c r="O18" s="11" t="s">
        <v>3475</v>
      </c>
      <c r="P18" s="11" t="s">
        <v>3476</v>
      </c>
      <c r="Q18" s="11" t="s">
        <v>3477</v>
      </c>
      <c r="R18" s="11" t="s">
        <v>1273</v>
      </c>
      <c r="S18" s="9" t="s">
        <v>233</v>
      </c>
      <c r="T18" s="11" t="s">
        <v>3478</v>
      </c>
      <c r="U18" s="11"/>
      <c r="V18" s="9" t="s">
        <v>786</v>
      </c>
      <c r="W18" s="11" t="s">
        <v>1178</v>
      </c>
    </row>
    <row r="19" customFormat="false" ht="300" hidden="false" customHeight="true" outlineLevel="0" collapsed="false">
      <c r="A19" s="11" t="n">
        <v>15</v>
      </c>
      <c r="B19" s="8" t="s">
        <v>689</v>
      </c>
      <c r="C19" s="11" t="s">
        <v>86</v>
      </c>
      <c r="D19" s="17" t="s">
        <v>1715</v>
      </c>
      <c r="E19" s="9" t="s">
        <v>1251</v>
      </c>
      <c r="F19" s="11" t="s">
        <v>183</v>
      </c>
      <c r="G19" s="11" t="s">
        <v>3479</v>
      </c>
      <c r="H19" s="11" t="s">
        <v>3480</v>
      </c>
      <c r="I19" s="11" t="s">
        <v>3481</v>
      </c>
      <c r="J19" s="11" t="s">
        <v>1179</v>
      </c>
      <c r="K19" s="9" t="s">
        <v>690</v>
      </c>
      <c r="L19" s="17" t="s">
        <v>1180</v>
      </c>
      <c r="M19" s="11" t="s">
        <v>3482</v>
      </c>
      <c r="N19" s="11" t="s">
        <v>3483</v>
      </c>
      <c r="O19" s="11" t="s">
        <v>3484</v>
      </c>
      <c r="P19" s="11" t="s">
        <v>3485</v>
      </c>
      <c r="Q19" s="11" t="s">
        <v>3486</v>
      </c>
      <c r="R19" s="11" t="s">
        <v>1273</v>
      </c>
      <c r="S19" s="9" t="s">
        <v>233</v>
      </c>
      <c r="T19" s="11" t="s">
        <v>3487</v>
      </c>
      <c r="U19" s="11" t="s">
        <v>3488</v>
      </c>
      <c r="V19" s="9" t="s">
        <v>789</v>
      </c>
      <c r="W19" s="11" t="s">
        <v>3489</v>
      </c>
    </row>
    <row r="20" customFormat="false" ht="97.5" hidden="false" customHeight="true" outlineLevel="0" collapsed="false">
      <c r="A20" s="11" t="n">
        <v>16</v>
      </c>
      <c r="B20" s="8" t="s">
        <v>691</v>
      </c>
      <c r="C20" s="11" t="s">
        <v>692</v>
      </c>
      <c r="D20" s="17" t="s">
        <v>1182</v>
      </c>
      <c r="E20" s="9" t="s">
        <v>1251</v>
      </c>
      <c r="F20" s="11" t="s">
        <v>183</v>
      </c>
      <c r="G20" s="11" t="s">
        <v>3490</v>
      </c>
      <c r="H20" s="11" t="s">
        <v>3491</v>
      </c>
      <c r="I20" s="11" t="s">
        <v>3492</v>
      </c>
      <c r="J20" s="11" t="s">
        <v>1181</v>
      </c>
      <c r="K20" s="9" t="s">
        <v>693</v>
      </c>
      <c r="L20" s="17" t="s">
        <v>1182</v>
      </c>
      <c r="M20" s="11" t="s">
        <v>3493</v>
      </c>
      <c r="N20" s="11" t="s">
        <v>3494</v>
      </c>
      <c r="O20" s="11" t="s">
        <v>3495</v>
      </c>
      <c r="P20" s="11" t="s">
        <v>3496</v>
      </c>
      <c r="Q20" s="11" t="s">
        <v>3497</v>
      </c>
      <c r="R20" s="11" t="s">
        <v>1273</v>
      </c>
      <c r="S20" s="9" t="s">
        <v>233</v>
      </c>
      <c r="T20" s="11" t="s">
        <v>3498</v>
      </c>
      <c r="U20" s="11"/>
      <c r="V20" s="9" t="s">
        <v>786</v>
      </c>
      <c r="W20" s="11" t="s">
        <v>3499</v>
      </c>
    </row>
    <row r="21" customFormat="false" ht="300" hidden="false" customHeight="true" outlineLevel="0" collapsed="false">
      <c r="A21" s="11" t="n">
        <v>17</v>
      </c>
      <c r="B21" s="8" t="s">
        <v>694</v>
      </c>
      <c r="C21" s="11" t="s">
        <v>202</v>
      </c>
      <c r="D21" s="17" t="s">
        <v>1384</v>
      </c>
      <c r="E21" s="9" t="s">
        <v>1251</v>
      </c>
      <c r="F21" s="11" t="s">
        <v>695</v>
      </c>
      <c r="G21" s="11" t="s">
        <v>3500</v>
      </c>
      <c r="H21" s="11" t="s">
        <v>3501</v>
      </c>
      <c r="I21" s="11" t="s">
        <v>3502</v>
      </c>
      <c r="J21" s="11" t="s">
        <v>1183</v>
      </c>
      <c r="K21" s="9" t="s">
        <v>696</v>
      </c>
      <c r="L21" s="17" t="s">
        <v>807</v>
      </c>
      <c r="M21" s="11" t="s">
        <v>3503</v>
      </c>
      <c r="N21" s="11" t="s">
        <v>3504</v>
      </c>
      <c r="O21" s="11" t="s">
        <v>3505</v>
      </c>
      <c r="P21" s="11" t="s">
        <v>3506</v>
      </c>
      <c r="Q21" s="11" t="s">
        <v>3507</v>
      </c>
      <c r="R21" s="11" t="s">
        <v>3508</v>
      </c>
      <c r="S21" s="9" t="s">
        <v>1261</v>
      </c>
      <c r="T21" s="11" t="s">
        <v>3509</v>
      </c>
      <c r="U21" s="11" t="s">
        <v>3510</v>
      </c>
      <c r="V21" s="9" t="s">
        <v>789</v>
      </c>
      <c r="W21" s="11" t="s">
        <v>3511</v>
      </c>
    </row>
    <row r="22" customFormat="false" ht="48.75" hidden="false" customHeight="true" outlineLevel="0" collapsed="false">
      <c r="A22" s="11" t="n">
        <v>18</v>
      </c>
      <c r="B22" s="8" t="s">
        <v>697</v>
      </c>
      <c r="C22" s="11" t="s">
        <v>698</v>
      </c>
      <c r="D22" s="17" t="s">
        <v>1185</v>
      </c>
      <c r="E22" s="9" t="s">
        <v>1276</v>
      </c>
      <c r="F22" s="11" t="s">
        <v>183</v>
      </c>
      <c r="G22" s="11" t="s">
        <v>3512</v>
      </c>
      <c r="H22" s="11" t="s">
        <v>3513</v>
      </c>
      <c r="I22" s="11" t="s">
        <v>3514</v>
      </c>
      <c r="J22" s="11" t="s">
        <v>1184</v>
      </c>
      <c r="K22" s="9" t="s">
        <v>699</v>
      </c>
      <c r="L22" s="17" t="s">
        <v>1185</v>
      </c>
      <c r="M22" s="11" t="s">
        <v>3515</v>
      </c>
      <c r="N22" s="11" t="s">
        <v>1273</v>
      </c>
      <c r="O22" s="11" t="s">
        <v>1270</v>
      </c>
      <c r="P22" s="11" t="s">
        <v>3516</v>
      </c>
      <c r="Q22" s="11" t="s">
        <v>1273</v>
      </c>
      <c r="R22" s="11" t="s">
        <v>1273</v>
      </c>
      <c r="S22" s="9" t="s">
        <v>233</v>
      </c>
      <c r="T22" s="11" t="s">
        <v>3517</v>
      </c>
      <c r="U22" s="11"/>
      <c r="V22" s="9" t="s">
        <v>781</v>
      </c>
      <c r="W22" s="11" t="s">
        <v>1185</v>
      </c>
    </row>
    <row r="23" customFormat="false" ht="158.25" hidden="false" customHeight="true" outlineLevel="0" collapsed="false">
      <c r="A23" s="11" t="n">
        <v>19</v>
      </c>
      <c r="B23" s="8" t="s">
        <v>700</v>
      </c>
      <c r="C23" s="11" t="s">
        <v>208</v>
      </c>
      <c r="D23" s="17" t="s">
        <v>870</v>
      </c>
      <c r="E23" s="9" t="s">
        <v>1251</v>
      </c>
      <c r="F23" s="11" t="s">
        <v>183</v>
      </c>
      <c r="G23" s="11" t="s">
        <v>3518</v>
      </c>
      <c r="H23" s="11" t="s">
        <v>3519</v>
      </c>
      <c r="I23" s="11" t="s">
        <v>3520</v>
      </c>
      <c r="J23" s="11" t="s">
        <v>1186</v>
      </c>
      <c r="K23" s="9" t="s">
        <v>701</v>
      </c>
      <c r="L23" s="17" t="s">
        <v>1187</v>
      </c>
      <c r="M23" s="11" t="s">
        <v>3521</v>
      </c>
      <c r="N23" s="11" t="s">
        <v>3522</v>
      </c>
      <c r="O23" s="11" t="s">
        <v>3523</v>
      </c>
      <c r="P23" s="11" t="s">
        <v>3524</v>
      </c>
      <c r="Q23" s="11" t="s">
        <v>3525</v>
      </c>
      <c r="R23" s="11" t="s">
        <v>3526</v>
      </c>
      <c r="S23" s="9" t="s">
        <v>1310</v>
      </c>
      <c r="T23" s="11" t="s">
        <v>3527</v>
      </c>
      <c r="U23" s="11" t="s">
        <v>3528</v>
      </c>
      <c r="V23" s="9" t="s">
        <v>789</v>
      </c>
      <c r="W23" s="11" t="s">
        <v>3529</v>
      </c>
    </row>
    <row r="24" customFormat="false" ht="109.5" hidden="false" customHeight="true" outlineLevel="0" collapsed="false">
      <c r="A24" s="11" t="n">
        <v>20</v>
      </c>
      <c r="B24" s="8" t="s">
        <v>702</v>
      </c>
      <c r="C24" s="11" t="s">
        <v>703</v>
      </c>
      <c r="D24" s="17" t="s">
        <v>1189</v>
      </c>
      <c r="E24" s="9" t="s">
        <v>1251</v>
      </c>
      <c r="F24" s="11" t="s">
        <v>183</v>
      </c>
      <c r="G24" s="11" t="s">
        <v>3530</v>
      </c>
      <c r="H24" s="11" t="s">
        <v>3531</v>
      </c>
      <c r="I24" s="11" t="s">
        <v>3532</v>
      </c>
      <c r="J24" s="11" t="s">
        <v>1188</v>
      </c>
      <c r="K24" s="9" t="s">
        <v>704</v>
      </c>
      <c r="L24" s="17" t="s">
        <v>1189</v>
      </c>
      <c r="M24" s="11" t="s">
        <v>3533</v>
      </c>
      <c r="N24" s="11" t="s">
        <v>3534</v>
      </c>
      <c r="O24" s="11" t="s">
        <v>3535</v>
      </c>
      <c r="P24" s="11" t="s">
        <v>3536</v>
      </c>
      <c r="Q24" s="11" t="s">
        <v>3537</v>
      </c>
      <c r="R24" s="11" t="s">
        <v>1273</v>
      </c>
      <c r="S24" s="9" t="s">
        <v>233</v>
      </c>
      <c r="T24" s="11" t="s">
        <v>3538</v>
      </c>
      <c r="U24" s="11" t="s">
        <v>3539</v>
      </c>
      <c r="V24" s="9" t="s">
        <v>781</v>
      </c>
      <c r="W24" s="11" t="s">
        <v>3540</v>
      </c>
    </row>
    <row r="25" customFormat="false" ht="158.25" hidden="false" customHeight="true" outlineLevel="0" collapsed="false">
      <c r="A25" s="11" t="n">
        <v>21</v>
      </c>
      <c r="B25" s="8" t="s">
        <v>705</v>
      </c>
      <c r="C25" s="11" t="s">
        <v>286</v>
      </c>
      <c r="D25" s="17" t="s">
        <v>1191</v>
      </c>
      <c r="E25" s="9" t="s">
        <v>1251</v>
      </c>
      <c r="F25" s="11" t="s">
        <v>706</v>
      </c>
      <c r="G25" s="11" t="s">
        <v>3541</v>
      </c>
      <c r="H25" s="11" t="s">
        <v>3542</v>
      </c>
      <c r="I25" s="11" t="s">
        <v>3543</v>
      </c>
      <c r="J25" s="11" t="s">
        <v>1190</v>
      </c>
      <c r="K25" s="9" t="s">
        <v>707</v>
      </c>
      <c r="L25" s="17" t="s">
        <v>1191</v>
      </c>
      <c r="M25" s="11" t="s">
        <v>3544</v>
      </c>
      <c r="N25" s="11" t="s">
        <v>3545</v>
      </c>
      <c r="O25" s="11" t="s">
        <v>3546</v>
      </c>
      <c r="P25" s="11" t="s">
        <v>3547</v>
      </c>
      <c r="Q25" s="11" t="s">
        <v>3548</v>
      </c>
      <c r="R25" s="11" t="s">
        <v>3549</v>
      </c>
      <c r="S25" s="9" t="s">
        <v>1310</v>
      </c>
      <c r="T25" s="11" t="s">
        <v>3550</v>
      </c>
      <c r="U25" s="11"/>
      <c r="V25" s="9" t="s">
        <v>789</v>
      </c>
      <c r="W25" s="11" t="s">
        <v>3551</v>
      </c>
    </row>
    <row r="26" customFormat="false" ht="97.5" hidden="false" customHeight="true" outlineLevel="0" collapsed="false">
      <c r="A26" s="11" t="n">
        <v>22</v>
      </c>
      <c r="B26" s="8" t="s">
        <v>708</v>
      </c>
      <c r="C26" s="11" t="s">
        <v>709</v>
      </c>
      <c r="D26" s="17" t="s">
        <v>813</v>
      </c>
      <c r="E26" s="9" t="s">
        <v>1251</v>
      </c>
      <c r="F26" s="11" t="s">
        <v>710</v>
      </c>
      <c r="G26" s="11" t="s">
        <v>3552</v>
      </c>
      <c r="H26" s="11" t="s">
        <v>3553</v>
      </c>
      <c r="I26" s="11" t="s">
        <v>3554</v>
      </c>
      <c r="J26" s="11" t="s">
        <v>1192</v>
      </c>
      <c r="K26" s="9" t="s">
        <v>711</v>
      </c>
      <c r="L26" s="17" t="s">
        <v>813</v>
      </c>
      <c r="M26" s="11" t="s">
        <v>3555</v>
      </c>
      <c r="N26" s="11" t="s">
        <v>3556</v>
      </c>
      <c r="O26" s="11" t="s">
        <v>1270</v>
      </c>
      <c r="P26" s="11" t="s">
        <v>3557</v>
      </c>
      <c r="Q26" s="11" t="s">
        <v>3558</v>
      </c>
      <c r="R26" s="11" t="s">
        <v>1273</v>
      </c>
      <c r="S26" s="9" t="s">
        <v>233</v>
      </c>
      <c r="T26" s="11" t="s">
        <v>3559</v>
      </c>
      <c r="U26" s="11"/>
      <c r="V26" s="9" t="s">
        <v>797</v>
      </c>
      <c r="W26" s="11" t="s">
        <v>3560</v>
      </c>
    </row>
    <row r="27" customFormat="false" ht="121.5" hidden="false" customHeight="true" outlineLevel="0" collapsed="false">
      <c r="A27" s="11" t="n">
        <v>23</v>
      </c>
      <c r="B27" s="8" t="s">
        <v>712</v>
      </c>
      <c r="C27" s="11" t="s">
        <v>377</v>
      </c>
      <c r="D27" s="17" t="s">
        <v>935</v>
      </c>
      <c r="E27" s="9" t="s">
        <v>1251</v>
      </c>
      <c r="F27" s="11" t="s">
        <v>183</v>
      </c>
      <c r="G27" s="11" t="s">
        <v>3561</v>
      </c>
      <c r="H27" s="11" t="s">
        <v>3562</v>
      </c>
      <c r="I27" s="11" t="s">
        <v>3563</v>
      </c>
      <c r="J27" s="11" t="s">
        <v>1193</v>
      </c>
      <c r="K27" s="9" t="s">
        <v>713</v>
      </c>
      <c r="L27" s="17" t="s">
        <v>935</v>
      </c>
      <c r="M27" s="11" t="s">
        <v>3564</v>
      </c>
      <c r="N27" s="11" t="s">
        <v>3565</v>
      </c>
      <c r="O27" s="11" t="s">
        <v>3566</v>
      </c>
      <c r="P27" s="11" t="s">
        <v>3567</v>
      </c>
      <c r="Q27" s="11" t="s">
        <v>3568</v>
      </c>
      <c r="R27" s="11" t="s">
        <v>1273</v>
      </c>
      <c r="S27" s="9" t="s">
        <v>233</v>
      </c>
      <c r="T27" s="11" t="s">
        <v>3569</v>
      </c>
      <c r="U27" s="11" t="s">
        <v>3570</v>
      </c>
      <c r="V27" s="9" t="s">
        <v>789</v>
      </c>
      <c r="W27" s="11" t="s">
        <v>3571</v>
      </c>
    </row>
    <row r="28" customFormat="false" ht="109.5" hidden="false" customHeight="true" outlineLevel="0" collapsed="false">
      <c r="A28" s="11" t="n">
        <v>24</v>
      </c>
      <c r="B28" s="8" t="s">
        <v>714</v>
      </c>
      <c r="C28" s="11" t="s">
        <v>715</v>
      </c>
      <c r="D28" s="17" t="s">
        <v>1195</v>
      </c>
      <c r="E28" s="9" t="s">
        <v>1251</v>
      </c>
      <c r="F28" s="11" t="s">
        <v>716</v>
      </c>
      <c r="G28" s="11" t="s">
        <v>3572</v>
      </c>
      <c r="H28" s="11" t="s">
        <v>3573</v>
      </c>
      <c r="I28" s="11" t="s">
        <v>3574</v>
      </c>
      <c r="J28" s="11" t="s">
        <v>1194</v>
      </c>
      <c r="K28" s="9" t="s">
        <v>717</v>
      </c>
      <c r="L28" s="17" t="s">
        <v>1195</v>
      </c>
      <c r="M28" s="11" t="s">
        <v>3575</v>
      </c>
      <c r="N28" s="11" t="s">
        <v>3576</v>
      </c>
      <c r="O28" s="11" t="s">
        <v>3577</v>
      </c>
      <c r="P28" s="11" t="s">
        <v>3578</v>
      </c>
      <c r="Q28" s="11" t="s">
        <v>3579</v>
      </c>
      <c r="R28" s="11" t="s">
        <v>1273</v>
      </c>
      <c r="S28" s="9" t="s">
        <v>233</v>
      </c>
      <c r="T28" s="11" t="s">
        <v>3580</v>
      </c>
      <c r="U28" s="11" t="s">
        <v>3581</v>
      </c>
      <c r="V28" s="9" t="s">
        <v>789</v>
      </c>
      <c r="W28" s="11" t="s">
        <v>3582</v>
      </c>
    </row>
    <row r="29" customFormat="false" ht="97.5" hidden="false" customHeight="true" outlineLevel="0" collapsed="false">
      <c r="A29" s="11" t="n">
        <v>25</v>
      </c>
      <c r="B29" s="8" t="s">
        <v>718</v>
      </c>
      <c r="C29" s="11" t="s">
        <v>216</v>
      </c>
      <c r="D29" s="17" t="s">
        <v>817</v>
      </c>
      <c r="E29" s="9" t="s">
        <v>1251</v>
      </c>
      <c r="F29" s="11" t="s">
        <v>719</v>
      </c>
      <c r="G29" s="11" t="s">
        <v>3583</v>
      </c>
      <c r="H29" s="11" t="s">
        <v>3584</v>
      </c>
      <c r="I29" s="11" t="s">
        <v>3585</v>
      </c>
      <c r="J29" s="11" t="s">
        <v>1196</v>
      </c>
      <c r="K29" s="9" t="s">
        <v>720</v>
      </c>
      <c r="L29" s="17" t="s">
        <v>817</v>
      </c>
      <c r="M29" s="11" t="s">
        <v>3586</v>
      </c>
      <c r="N29" s="11" t="s">
        <v>3587</v>
      </c>
      <c r="O29" s="11" t="s">
        <v>3588</v>
      </c>
      <c r="P29" s="11" t="s">
        <v>3589</v>
      </c>
      <c r="Q29" s="11" t="s">
        <v>3590</v>
      </c>
      <c r="R29" s="11" t="s">
        <v>1273</v>
      </c>
      <c r="S29" s="9" t="s">
        <v>233</v>
      </c>
      <c r="T29" s="11" t="s">
        <v>3591</v>
      </c>
      <c r="U29" s="11"/>
      <c r="V29" s="9" t="s">
        <v>786</v>
      </c>
      <c r="W29" s="11" t="s">
        <v>3592</v>
      </c>
    </row>
    <row r="30" customFormat="false" ht="60.75" hidden="false" customHeight="true" outlineLevel="0" collapsed="false">
      <c r="A30" s="11" t="n">
        <v>26</v>
      </c>
      <c r="B30" s="8" t="s">
        <v>721</v>
      </c>
      <c r="C30" s="11" t="s">
        <v>219</v>
      </c>
      <c r="D30" s="17" t="s">
        <v>819</v>
      </c>
      <c r="E30" s="9" t="s">
        <v>1276</v>
      </c>
      <c r="F30" s="11" t="s">
        <v>183</v>
      </c>
      <c r="G30" s="11" t="s">
        <v>3512</v>
      </c>
      <c r="H30" s="11" t="s">
        <v>3593</v>
      </c>
      <c r="I30" s="11" t="s">
        <v>3594</v>
      </c>
      <c r="J30" s="11" t="s">
        <v>1197</v>
      </c>
      <c r="K30" s="9" t="s">
        <v>661</v>
      </c>
      <c r="L30" s="17" t="s">
        <v>819</v>
      </c>
      <c r="M30" s="11" t="s">
        <v>3595</v>
      </c>
      <c r="N30" s="11" t="s">
        <v>1273</v>
      </c>
      <c r="O30" s="11" t="s">
        <v>1270</v>
      </c>
      <c r="P30" s="11" t="s">
        <v>3596</v>
      </c>
      <c r="Q30" s="11" t="s">
        <v>1273</v>
      </c>
      <c r="R30" s="11" t="s">
        <v>1273</v>
      </c>
      <c r="S30" s="9" t="s">
        <v>233</v>
      </c>
      <c r="T30" s="11" t="s">
        <v>3597</v>
      </c>
      <c r="U30" s="11"/>
      <c r="V30" s="9" t="s">
        <v>786</v>
      </c>
      <c r="W30" s="11" t="s">
        <v>819</v>
      </c>
    </row>
    <row r="31" customFormat="false" ht="158.25" hidden="false" customHeight="true" outlineLevel="0" collapsed="false">
      <c r="A31" s="11" t="n">
        <v>27</v>
      </c>
      <c r="B31" s="8" t="s">
        <v>722</v>
      </c>
      <c r="C31" s="11" t="s">
        <v>723</v>
      </c>
      <c r="D31" s="17" t="s">
        <v>1199</v>
      </c>
      <c r="E31" s="9" t="s">
        <v>1251</v>
      </c>
      <c r="F31" s="11" t="s">
        <v>183</v>
      </c>
      <c r="G31" s="11" t="s">
        <v>3598</v>
      </c>
      <c r="H31" s="11" t="s">
        <v>3599</v>
      </c>
      <c r="I31" s="11" t="s">
        <v>3600</v>
      </c>
      <c r="J31" s="11" t="s">
        <v>1198</v>
      </c>
      <c r="K31" s="9" t="s">
        <v>724</v>
      </c>
      <c r="L31" s="17" t="s">
        <v>1199</v>
      </c>
      <c r="M31" s="11" t="s">
        <v>3601</v>
      </c>
      <c r="N31" s="11" t="s">
        <v>3602</v>
      </c>
      <c r="O31" s="11" t="s">
        <v>3603</v>
      </c>
      <c r="P31" s="11" t="s">
        <v>3604</v>
      </c>
      <c r="Q31" s="11" t="s">
        <v>3605</v>
      </c>
      <c r="R31" s="11" t="s">
        <v>2896</v>
      </c>
      <c r="S31" s="9" t="s">
        <v>1296</v>
      </c>
      <c r="T31" s="11" t="s">
        <v>3606</v>
      </c>
      <c r="U31" s="11"/>
      <c r="V31" s="9" t="s">
        <v>781</v>
      </c>
      <c r="W31" s="11" t="s">
        <v>3607</v>
      </c>
    </row>
    <row r="32" customFormat="false" ht="97.5" hidden="false" customHeight="true" outlineLevel="0" collapsed="false">
      <c r="A32" s="11" t="n">
        <v>28</v>
      </c>
      <c r="B32" s="8" t="s">
        <v>725</v>
      </c>
      <c r="C32" s="11" t="s">
        <v>726</v>
      </c>
      <c r="D32" s="17" t="s">
        <v>1201</v>
      </c>
      <c r="E32" s="9" t="s">
        <v>1251</v>
      </c>
      <c r="F32" s="11" t="s">
        <v>183</v>
      </c>
      <c r="G32" s="11" t="s">
        <v>3608</v>
      </c>
      <c r="H32" s="11" t="s">
        <v>3609</v>
      </c>
      <c r="I32" s="11" t="s">
        <v>3610</v>
      </c>
      <c r="J32" s="11" t="s">
        <v>1200</v>
      </c>
      <c r="K32" s="9" t="s">
        <v>727</v>
      </c>
      <c r="L32" s="17" t="s">
        <v>1201</v>
      </c>
      <c r="M32" s="11" t="s">
        <v>3611</v>
      </c>
      <c r="N32" s="11" t="s">
        <v>3612</v>
      </c>
      <c r="O32" s="11" t="s">
        <v>3613</v>
      </c>
      <c r="P32" s="11" t="s">
        <v>3614</v>
      </c>
      <c r="Q32" s="11" t="s">
        <v>3615</v>
      </c>
      <c r="R32" s="11" t="s">
        <v>1273</v>
      </c>
      <c r="S32" s="9" t="s">
        <v>233</v>
      </c>
      <c r="T32" s="11" t="s">
        <v>3616</v>
      </c>
      <c r="U32" s="11"/>
      <c r="V32" s="9" t="s">
        <v>786</v>
      </c>
      <c r="W32" s="11" t="s">
        <v>1201</v>
      </c>
    </row>
    <row r="33" customFormat="false" ht="133.5" hidden="false" customHeight="true" outlineLevel="0" collapsed="false">
      <c r="A33" s="11" t="n">
        <v>29</v>
      </c>
      <c r="B33" s="8" t="s">
        <v>728</v>
      </c>
      <c r="C33" s="11" t="s">
        <v>729</v>
      </c>
      <c r="D33" s="17" t="s">
        <v>3617</v>
      </c>
      <c r="E33" s="9" t="s">
        <v>1251</v>
      </c>
      <c r="F33" s="11" t="s">
        <v>183</v>
      </c>
      <c r="G33" s="11" t="s">
        <v>3618</v>
      </c>
      <c r="H33" s="11" t="s">
        <v>3619</v>
      </c>
      <c r="I33" s="11" t="s">
        <v>3620</v>
      </c>
      <c r="J33" s="11" t="s">
        <v>1202</v>
      </c>
      <c r="K33" s="9" t="s">
        <v>730</v>
      </c>
      <c r="L33" s="17" t="s">
        <v>1203</v>
      </c>
      <c r="M33" s="11" t="s">
        <v>3621</v>
      </c>
      <c r="N33" s="11" t="s">
        <v>3622</v>
      </c>
      <c r="O33" s="11" t="s">
        <v>3623</v>
      </c>
      <c r="P33" s="11" t="s">
        <v>3624</v>
      </c>
      <c r="Q33" s="11" t="s">
        <v>3625</v>
      </c>
      <c r="R33" s="11" t="s">
        <v>1273</v>
      </c>
      <c r="S33" s="9" t="s">
        <v>233</v>
      </c>
      <c r="T33" s="11" t="s">
        <v>3626</v>
      </c>
      <c r="U33" s="11" t="s">
        <v>3627</v>
      </c>
      <c r="V33" s="9" t="s">
        <v>781</v>
      </c>
      <c r="W33" s="11" t="s">
        <v>3628</v>
      </c>
    </row>
    <row r="34" customFormat="false" ht="109.5" hidden="false" customHeight="true" outlineLevel="0" collapsed="false">
      <c r="A34" s="11" t="n">
        <v>30</v>
      </c>
      <c r="B34" s="8" t="s">
        <v>731</v>
      </c>
      <c r="C34" s="11" t="s">
        <v>732</v>
      </c>
      <c r="D34" s="17" t="s">
        <v>3629</v>
      </c>
      <c r="E34" s="9" t="s">
        <v>1251</v>
      </c>
      <c r="F34" s="11" t="s">
        <v>183</v>
      </c>
      <c r="G34" s="11" t="s">
        <v>3630</v>
      </c>
      <c r="H34" s="11" t="s">
        <v>3631</v>
      </c>
      <c r="I34" s="11" t="s">
        <v>3632</v>
      </c>
      <c r="J34" s="11" t="s">
        <v>1204</v>
      </c>
      <c r="K34" s="9" t="s">
        <v>733</v>
      </c>
      <c r="L34" s="17" t="s">
        <v>1205</v>
      </c>
      <c r="M34" s="11" t="s">
        <v>3633</v>
      </c>
      <c r="N34" s="11" t="s">
        <v>3634</v>
      </c>
      <c r="O34" s="11" t="s">
        <v>3635</v>
      </c>
      <c r="P34" s="11" t="s">
        <v>3636</v>
      </c>
      <c r="Q34" s="11" t="s">
        <v>3637</v>
      </c>
      <c r="R34" s="11" t="s">
        <v>1273</v>
      </c>
      <c r="S34" s="9" t="s">
        <v>233</v>
      </c>
      <c r="T34" s="11" t="s">
        <v>3638</v>
      </c>
      <c r="U34" s="11" t="s">
        <v>3639</v>
      </c>
      <c r="V34" s="9" t="s">
        <v>794</v>
      </c>
      <c r="W34" s="11" t="s">
        <v>3640</v>
      </c>
    </row>
    <row r="35" customFormat="false" ht="72.75" hidden="false" customHeight="true" outlineLevel="0" collapsed="false">
      <c r="A35" s="11" t="n">
        <v>31</v>
      </c>
      <c r="B35" s="8" t="s">
        <v>734</v>
      </c>
      <c r="C35" s="11" t="s">
        <v>223</v>
      </c>
      <c r="D35" s="17" t="s">
        <v>1207</v>
      </c>
      <c r="E35" s="9" t="s">
        <v>1251</v>
      </c>
      <c r="F35" s="11" t="s">
        <v>735</v>
      </c>
      <c r="G35" s="11" t="s">
        <v>3641</v>
      </c>
      <c r="H35" s="11" t="s">
        <v>3642</v>
      </c>
      <c r="I35" s="11" t="s">
        <v>3643</v>
      </c>
      <c r="J35" s="11" t="s">
        <v>1206</v>
      </c>
      <c r="K35" s="9" t="s">
        <v>736</v>
      </c>
      <c r="L35" s="17" t="s">
        <v>1207</v>
      </c>
      <c r="M35" s="11" t="s">
        <v>3644</v>
      </c>
      <c r="N35" s="11" t="s">
        <v>3645</v>
      </c>
      <c r="O35" s="11" t="s">
        <v>1270</v>
      </c>
      <c r="P35" s="11" t="s">
        <v>3646</v>
      </c>
      <c r="Q35" s="11" t="s">
        <v>3647</v>
      </c>
      <c r="R35" s="11" t="s">
        <v>1273</v>
      </c>
      <c r="S35" s="9" t="s">
        <v>233</v>
      </c>
      <c r="T35" s="11" t="s">
        <v>3648</v>
      </c>
      <c r="U35" s="11"/>
      <c r="V35" s="9" t="s">
        <v>786</v>
      </c>
      <c r="W35" s="11" t="s">
        <v>1207</v>
      </c>
    </row>
    <row r="36" customFormat="false" ht="97.5" hidden="false" customHeight="true" outlineLevel="0" collapsed="false">
      <c r="A36" s="11" t="n">
        <v>32</v>
      </c>
      <c r="B36" s="8" t="s">
        <v>737</v>
      </c>
      <c r="C36" s="11" t="s">
        <v>738</v>
      </c>
      <c r="D36" s="17" t="s">
        <v>3649</v>
      </c>
      <c r="E36" s="9" t="s">
        <v>1251</v>
      </c>
      <c r="F36" s="11" t="s">
        <v>183</v>
      </c>
      <c r="G36" s="11" t="s">
        <v>1421</v>
      </c>
      <c r="H36" s="11" t="s">
        <v>3650</v>
      </c>
      <c r="I36" s="11" t="s">
        <v>3651</v>
      </c>
      <c r="J36" s="11" t="s">
        <v>1208</v>
      </c>
      <c r="K36" s="9" t="s">
        <v>739</v>
      </c>
      <c r="L36" s="17" t="s">
        <v>1209</v>
      </c>
      <c r="M36" s="11" t="s">
        <v>3652</v>
      </c>
      <c r="N36" s="11" t="s">
        <v>1273</v>
      </c>
      <c r="O36" s="11" t="s">
        <v>3653</v>
      </c>
      <c r="P36" s="11" t="s">
        <v>3654</v>
      </c>
      <c r="Q36" s="11" t="s">
        <v>1795</v>
      </c>
      <c r="R36" s="11" t="s">
        <v>1273</v>
      </c>
      <c r="S36" s="9" t="s">
        <v>233</v>
      </c>
      <c r="T36" s="11" t="s">
        <v>3655</v>
      </c>
      <c r="U36" s="11"/>
      <c r="V36" s="9" t="s">
        <v>781</v>
      </c>
      <c r="W36" s="11" t="s">
        <v>3656</v>
      </c>
    </row>
    <row r="37" customFormat="false" ht="300" hidden="false" customHeight="true" outlineLevel="0" collapsed="false">
      <c r="A37" s="11" t="n">
        <v>33</v>
      </c>
      <c r="B37" s="8" t="s">
        <v>740</v>
      </c>
      <c r="C37" s="11" t="s">
        <v>225</v>
      </c>
      <c r="D37" s="17" t="s">
        <v>1211</v>
      </c>
      <c r="E37" s="9" t="s">
        <v>1251</v>
      </c>
      <c r="F37" s="11" t="s">
        <v>741</v>
      </c>
      <c r="G37" s="11" t="s">
        <v>3657</v>
      </c>
      <c r="H37" s="11" t="s">
        <v>3658</v>
      </c>
      <c r="I37" s="11" t="s">
        <v>3659</v>
      </c>
      <c r="J37" s="11" t="s">
        <v>1210</v>
      </c>
      <c r="K37" s="9" t="s">
        <v>742</v>
      </c>
      <c r="L37" s="17" t="s">
        <v>1211</v>
      </c>
      <c r="M37" s="11" t="s">
        <v>3660</v>
      </c>
      <c r="N37" s="11" t="s">
        <v>3661</v>
      </c>
      <c r="O37" s="11" t="s">
        <v>3662</v>
      </c>
      <c r="P37" s="11" t="s">
        <v>3663</v>
      </c>
      <c r="Q37" s="11" t="s">
        <v>3664</v>
      </c>
      <c r="R37" s="11" t="s">
        <v>3665</v>
      </c>
      <c r="S37" s="9" t="s">
        <v>1310</v>
      </c>
      <c r="T37" s="11" t="s">
        <v>3666</v>
      </c>
      <c r="U37" s="11" t="s">
        <v>3667</v>
      </c>
      <c r="V37" s="9" t="s">
        <v>789</v>
      </c>
      <c r="W37" s="11" t="s">
        <v>3668</v>
      </c>
    </row>
    <row r="38" customFormat="false" ht="133.5" hidden="false" customHeight="true" outlineLevel="0" collapsed="false">
      <c r="A38" s="11" t="n">
        <v>34</v>
      </c>
      <c r="B38" s="8" t="s">
        <v>743</v>
      </c>
      <c r="C38" s="11" t="s">
        <v>311</v>
      </c>
      <c r="D38" s="17" t="s">
        <v>1213</v>
      </c>
      <c r="E38" s="9" t="s">
        <v>1251</v>
      </c>
      <c r="F38" s="11" t="s">
        <v>744</v>
      </c>
      <c r="G38" s="11" t="s">
        <v>3669</v>
      </c>
      <c r="H38" s="11" t="s">
        <v>3670</v>
      </c>
      <c r="I38" s="11" t="s">
        <v>3671</v>
      </c>
      <c r="J38" s="11" t="s">
        <v>1212</v>
      </c>
      <c r="K38" s="9" t="s">
        <v>745</v>
      </c>
      <c r="L38" s="17" t="s">
        <v>1213</v>
      </c>
      <c r="M38" s="11" t="s">
        <v>3672</v>
      </c>
      <c r="N38" s="11" t="s">
        <v>3673</v>
      </c>
      <c r="O38" s="11" t="s">
        <v>3674</v>
      </c>
      <c r="P38" s="11" t="s">
        <v>3675</v>
      </c>
      <c r="Q38" s="11" t="s">
        <v>3676</v>
      </c>
      <c r="R38" s="11" t="s">
        <v>1273</v>
      </c>
      <c r="S38" s="9" t="s">
        <v>233</v>
      </c>
      <c r="T38" s="11" t="s">
        <v>3677</v>
      </c>
      <c r="U38" s="11" t="s">
        <v>3678</v>
      </c>
      <c r="V38" s="9" t="s">
        <v>789</v>
      </c>
      <c r="W38" s="11" t="s">
        <v>3679</v>
      </c>
    </row>
    <row r="39" customFormat="false" ht="84.75" hidden="false" customHeight="true" outlineLevel="0" collapsed="false">
      <c r="A39" s="11" t="n">
        <v>35</v>
      </c>
      <c r="B39" s="8" t="s">
        <v>746</v>
      </c>
      <c r="C39" s="11" t="s">
        <v>747</v>
      </c>
      <c r="D39" s="17" t="s">
        <v>1215</v>
      </c>
      <c r="E39" s="9" t="s">
        <v>1251</v>
      </c>
      <c r="F39" s="11" t="s">
        <v>183</v>
      </c>
      <c r="G39" s="11" t="s">
        <v>3680</v>
      </c>
      <c r="H39" s="11" t="s">
        <v>3681</v>
      </c>
      <c r="I39" s="11" t="s">
        <v>3682</v>
      </c>
      <c r="J39" s="11" t="s">
        <v>1214</v>
      </c>
      <c r="K39" s="9" t="s">
        <v>748</v>
      </c>
      <c r="L39" s="17" t="s">
        <v>1215</v>
      </c>
      <c r="M39" s="11" t="s">
        <v>3683</v>
      </c>
      <c r="N39" s="11" t="s">
        <v>1273</v>
      </c>
      <c r="O39" s="11" t="s">
        <v>3684</v>
      </c>
      <c r="P39" s="11" t="s">
        <v>3685</v>
      </c>
      <c r="Q39" s="11" t="s">
        <v>3686</v>
      </c>
      <c r="R39" s="11" t="s">
        <v>1273</v>
      </c>
      <c r="S39" s="9" t="s">
        <v>233</v>
      </c>
      <c r="T39" s="11" t="s">
        <v>3687</v>
      </c>
      <c r="U39" s="11"/>
      <c r="V39" s="9" t="s">
        <v>797</v>
      </c>
      <c r="W39" s="11" t="s">
        <v>3688</v>
      </c>
    </row>
    <row r="40" customFormat="false" ht="195" hidden="false" customHeight="true" outlineLevel="0" collapsed="false">
      <c r="A40" s="11" t="n">
        <v>36</v>
      </c>
      <c r="B40" s="8" t="s">
        <v>749</v>
      </c>
      <c r="C40" s="11" t="s">
        <v>750</v>
      </c>
      <c r="D40" s="17" t="s">
        <v>3689</v>
      </c>
      <c r="E40" s="9" t="s">
        <v>1251</v>
      </c>
      <c r="F40" s="11" t="s">
        <v>183</v>
      </c>
      <c r="G40" s="11" t="s">
        <v>3690</v>
      </c>
      <c r="H40" s="11" t="s">
        <v>3691</v>
      </c>
      <c r="I40" s="11" t="s">
        <v>3692</v>
      </c>
      <c r="J40" s="11" t="s">
        <v>1216</v>
      </c>
      <c r="K40" s="9" t="s">
        <v>751</v>
      </c>
      <c r="L40" s="17" t="s">
        <v>1217</v>
      </c>
      <c r="M40" s="11" t="s">
        <v>3693</v>
      </c>
      <c r="N40" s="11" t="s">
        <v>3694</v>
      </c>
      <c r="O40" s="11" t="s">
        <v>3695</v>
      </c>
      <c r="P40" s="11" t="s">
        <v>3696</v>
      </c>
      <c r="Q40" s="11" t="s">
        <v>3697</v>
      </c>
      <c r="R40" s="11" t="s">
        <v>3698</v>
      </c>
      <c r="S40" s="9" t="s">
        <v>1296</v>
      </c>
      <c r="T40" s="11" t="s">
        <v>3699</v>
      </c>
      <c r="U40" s="11" t="s">
        <v>3700</v>
      </c>
      <c r="V40" s="9" t="s">
        <v>789</v>
      </c>
      <c r="W40" s="11" t="s">
        <v>3701</v>
      </c>
    </row>
    <row r="41" customFormat="false" ht="292.5" hidden="false" customHeight="true" outlineLevel="0" collapsed="false">
      <c r="A41" s="11" t="n">
        <v>37</v>
      </c>
      <c r="B41" s="8" t="s">
        <v>752</v>
      </c>
      <c r="C41" s="11" t="s">
        <v>753</v>
      </c>
      <c r="D41" s="17" t="s">
        <v>3702</v>
      </c>
      <c r="E41" s="9" t="s">
        <v>1251</v>
      </c>
      <c r="F41" s="11" t="s">
        <v>183</v>
      </c>
      <c r="G41" s="11" t="s">
        <v>3703</v>
      </c>
      <c r="H41" s="11" t="s">
        <v>3704</v>
      </c>
      <c r="I41" s="11" t="s">
        <v>3705</v>
      </c>
      <c r="J41" s="11" t="s">
        <v>1218</v>
      </c>
      <c r="K41" s="9" t="s">
        <v>754</v>
      </c>
      <c r="L41" s="17" t="s">
        <v>1219</v>
      </c>
      <c r="M41" s="11" t="s">
        <v>3706</v>
      </c>
      <c r="N41" s="11" t="s">
        <v>3707</v>
      </c>
      <c r="O41" s="11" t="s">
        <v>3708</v>
      </c>
      <c r="P41" s="11" t="s">
        <v>3709</v>
      </c>
      <c r="Q41" s="11" t="s">
        <v>3710</v>
      </c>
      <c r="R41" s="11" t="s">
        <v>3711</v>
      </c>
      <c r="S41" s="9" t="s">
        <v>1296</v>
      </c>
      <c r="T41" s="11" t="s">
        <v>3712</v>
      </c>
      <c r="U41" s="11" t="s">
        <v>3713</v>
      </c>
      <c r="V41" s="9" t="s">
        <v>789</v>
      </c>
      <c r="W41" s="11" t="s">
        <v>3714</v>
      </c>
    </row>
    <row r="42" customFormat="false" ht="97.5" hidden="false" customHeight="true" outlineLevel="0" collapsed="false">
      <c r="A42" s="11" t="n">
        <v>38</v>
      </c>
      <c r="B42" s="8" t="s">
        <v>755</v>
      </c>
      <c r="C42" s="11" t="s">
        <v>228</v>
      </c>
      <c r="D42" s="17" t="s">
        <v>1221</v>
      </c>
      <c r="E42" s="9" t="s">
        <v>1276</v>
      </c>
      <c r="F42" s="11" t="s">
        <v>183</v>
      </c>
      <c r="G42" s="11" t="s">
        <v>3715</v>
      </c>
      <c r="H42" s="11" t="s">
        <v>3716</v>
      </c>
      <c r="I42" s="11" t="s">
        <v>3717</v>
      </c>
      <c r="J42" s="11" t="s">
        <v>1220</v>
      </c>
      <c r="K42" s="9" t="s">
        <v>181</v>
      </c>
      <c r="L42" s="17" t="s">
        <v>1221</v>
      </c>
      <c r="M42" s="11" t="s">
        <v>3718</v>
      </c>
      <c r="N42" s="11" t="s">
        <v>3719</v>
      </c>
      <c r="O42" s="11" t="s">
        <v>3720</v>
      </c>
      <c r="P42" s="11" t="s">
        <v>3721</v>
      </c>
      <c r="Q42" s="11" t="s">
        <v>3722</v>
      </c>
      <c r="R42" s="11" t="s">
        <v>1273</v>
      </c>
      <c r="S42" s="9" t="s">
        <v>233</v>
      </c>
      <c r="T42" s="11" t="s">
        <v>3723</v>
      </c>
      <c r="U42" s="11"/>
      <c r="V42" s="9" t="s">
        <v>781</v>
      </c>
      <c r="W42" s="11" t="s">
        <v>1221</v>
      </c>
    </row>
    <row r="43" customFormat="false" ht="109.5" hidden="false" customHeight="true" outlineLevel="0" collapsed="false">
      <c r="A43" s="11" t="n">
        <v>39</v>
      </c>
      <c r="B43" s="8" t="s">
        <v>756</v>
      </c>
      <c r="C43" s="11" t="s">
        <v>757</v>
      </c>
      <c r="D43" s="17" t="s">
        <v>3724</v>
      </c>
      <c r="E43" s="9" t="s">
        <v>1251</v>
      </c>
      <c r="F43" s="11" t="s">
        <v>758</v>
      </c>
      <c r="G43" s="11" t="s">
        <v>3725</v>
      </c>
      <c r="H43" s="11" t="s">
        <v>3726</v>
      </c>
      <c r="I43" s="11" t="s">
        <v>3727</v>
      </c>
      <c r="J43" s="11" t="s">
        <v>1222</v>
      </c>
      <c r="K43" s="9" t="s">
        <v>759</v>
      </c>
      <c r="L43" s="17" t="s">
        <v>1223</v>
      </c>
      <c r="M43" s="11" t="s">
        <v>3728</v>
      </c>
      <c r="N43" s="11" t="s">
        <v>3729</v>
      </c>
      <c r="O43" s="11" t="s">
        <v>1270</v>
      </c>
      <c r="P43" s="11" t="s">
        <v>3730</v>
      </c>
      <c r="Q43" s="11" t="s">
        <v>3731</v>
      </c>
      <c r="R43" s="11" t="s">
        <v>1273</v>
      </c>
      <c r="S43" s="9" t="s">
        <v>233</v>
      </c>
      <c r="T43" s="11" t="s">
        <v>3732</v>
      </c>
      <c r="U43" s="11"/>
      <c r="V43" s="9" t="s">
        <v>797</v>
      </c>
      <c r="W43" s="11" t="s">
        <v>3733</v>
      </c>
    </row>
    <row r="44" customFormat="false" ht="300" hidden="false" customHeight="true" outlineLevel="0" collapsed="false">
      <c r="A44" s="11" t="n">
        <v>40</v>
      </c>
      <c r="B44" s="8" t="s">
        <v>760</v>
      </c>
      <c r="C44" s="11" t="s">
        <v>241</v>
      </c>
      <c r="D44" s="17" t="s">
        <v>3734</v>
      </c>
      <c r="E44" s="9" t="s">
        <v>1251</v>
      </c>
      <c r="F44" s="11" t="s">
        <v>761</v>
      </c>
      <c r="G44" s="11" t="s">
        <v>3735</v>
      </c>
      <c r="H44" s="11" t="s">
        <v>3736</v>
      </c>
      <c r="I44" s="11" t="s">
        <v>3737</v>
      </c>
      <c r="J44" s="11" t="s">
        <v>1224</v>
      </c>
      <c r="K44" s="9" t="s">
        <v>762</v>
      </c>
      <c r="L44" s="17" t="s">
        <v>1225</v>
      </c>
      <c r="M44" s="11" t="s">
        <v>3738</v>
      </c>
      <c r="N44" s="11" t="s">
        <v>3739</v>
      </c>
      <c r="O44" s="11" t="s">
        <v>3740</v>
      </c>
      <c r="P44" s="11" t="s">
        <v>3741</v>
      </c>
      <c r="Q44" s="11" t="s">
        <v>3742</v>
      </c>
      <c r="R44" s="11" t="s">
        <v>3743</v>
      </c>
      <c r="S44" s="9" t="s">
        <v>1261</v>
      </c>
      <c r="T44" s="11" t="s">
        <v>3744</v>
      </c>
      <c r="U44" s="11" t="s">
        <v>3745</v>
      </c>
      <c r="V44" s="9" t="s">
        <v>789</v>
      </c>
      <c r="W44" s="11" t="s">
        <v>3746</v>
      </c>
    </row>
    <row r="45" customFormat="false" ht="158.25" hidden="false" customHeight="true" outlineLevel="0" collapsed="false">
      <c r="A45" s="11" t="n">
        <v>41</v>
      </c>
      <c r="B45" s="8" t="s">
        <v>763</v>
      </c>
      <c r="C45" s="11" t="s">
        <v>764</v>
      </c>
      <c r="D45" s="17" t="s">
        <v>3747</v>
      </c>
      <c r="E45" s="9" t="s">
        <v>1251</v>
      </c>
      <c r="F45" s="11" t="s">
        <v>765</v>
      </c>
      <c r="G45" s="11" t="s">
        <v>3748</v>
      </c>
      <c r="H45" s="11" t="s">
        <v>3749</v>
      </c>
      <c r="I45" s="11" t="s">
        <v>3750</v>
      </c>
      <c r="J45" s="11" t="s">
        <v>1226</v>
      </c>
      <c r="K45" s="9" t="s">
        <v>766</v>
      </c>
      <c r="L45" s="17" t="s">
        <v>1227</v>
      </c>
      <c r="M45" s="11" t="s">
        <v>3751</v>
      </c>
      <c r="N45" s="11" t="s">
        <v>3752</v>
      </c>
      <c r="O45" s="11" t="s">
        <v>3753</v>
      </c>
      <c r="P45" s="11" t="s">
        <v>3754</v>
      </c>
      <c r="Q45" s="11" t="s">
        <v>3755</v>
      </c>
      <c r="R45" s="11" t="s">
        <v>3756</v>
      </c>
      <c r="S45" s="9" t="s">
        <v>3757</v>
      </c>
      <c r="T45" s="11" t="s">
        <v>3758</v>
      </c>
      <c r="U45" s="11" t="s">
        <v>3759</v>
      </c>
      <c r="V45" s="9" t="s">
        <v>789</v>
      </c>
      <c r="W45" s="11" t="s">
        <v>3760</v>
      </c>
    </row>
    <row r="46" customFormat="false" ht="243.75" hidden="false" customHeight="true" outlineLevel="0" collapsed="false">
      <c r="A46" s="11" t="n">
        <v>42</v>
      </c>
      <c r="B46" s="8" t="s">
        <v>767</v>
      </c>
      <c r="C46" s="11" t="s">
        <v>252</v>
      </c>
      <c r="D46" s="17" t="s">
        <v>1229</v>
      </c>
      <c r="E46" s="9" t="s">
        <v>1251</v>
      </c>
      <c r="F46" s="11" t="s">
        <v>768</v>
      </c>
      <c r="G46" s="11" t="s">
        <v>3761</v>
      </c>
      <c r="H46" s="11" t="s">
        <v>3762</v>
      </c>
      <c r="I46" s="11" t="s">
        <v>3763</v>
      </c>
      <c r="J46" s="11" t="s">
        <v>1228</v>
      </c>
      <c r="K46" s="9" t="s">
        <v>769</v>
      </c>
      <c r="L46" s="17" t="s">
        <v>1229</v>
      </c>
      <c r="M46" s="11" t="s">
        <v>3764</v>
      </c>
      <c r="N46" s="11" t="s">
        <v>3765</v>
      </c>
      <c r="O46" s="11" t="s">
        <v>3766</v>
      </c>
      <c r="P46" s="11" t="s">
        <v>3767</v>
      </c>
      <c r="Q46" s="11" t="s">
        <v>3768</v>
      </c>
      <c r="R46" s="11" t="s">
        <v>3769</v>
      </c>
      <c r="S46" s="9" t="s">
        <v>1310</v>
      </c>
      <c r="T46" s="11" t="s">
        <v>3770</v>
      </c>
      <c r="U46" s="11" t="s">
        <v>3771</v>
      </c>
      <c r="V46" s="9" t="s">
        <v>789</v>
      </c>
      <c r="W46" s="11" t="s">
        <v>1229</v>
      </c>
    </row>
    <row r="47" customFormat="false" ht="84.75" hidden="false" customHeight="true" outlineLevel="0" collapsed="false">
      <c r="A47" s="11" t="n">
        <v>43</v>
      </c>
      <c r="B47" s="8" t="s">
        <v>770</v>
      </c>
      <c r="C47" s="11" t="s">
        <v>771</v>
      </c>
      <c r="D47" s="17" t="s">
        <v>1231</v>
      </c>
      <c r="E47" s="9" t="s">
        <v>1251</v>
      </c>
      <c r="F47" s="11" t="s">
        <v>772</v>
      </c>
      <c r="G47" s="11" t="s">
        <v>3772</v>
      </c>
      <c r="H47" s="11" t="s">
        <v>3773</v>
      </c>
      <c r="I47" s="11" t="s">
        <v>3774</v>
      </c>
      <c r="J47" s="11" t="s">
        <v>1230</v>
      </c>
      <c r="K47" s="9" t="s">
        <v>773</v>
      </c>
      <c r="L47" s="17" t="s">
        <v>1231</v>
      </c>
      <c r="M47" s="11" t="s">
        <v>3775</v>
      </c>
      <c r="N47" s="11" t="s">
        <v>3776</v>
      </c>
      <c r="O47" s="11" t="s">
        <v>3777</v>
      </c>
      <c r="P47" s="11" t="s">
        <v>3778</v>
      </c>
      <c r="Q47" s="11" t="s">
        <v>3779</v>
      </c>
      <c r="R47" s="11" t="s">
        <v>1273</v>
      </c>
      <c r="S47" s="9" t="s">
        <v>233</v>
      </c>
      <c r="T47" s="11" t="s">
        <v>3780</v>
      </c>
      <c r="U47" s="11"/>
      <c r="V47" s="9" t="s">
        <v>786</v>
      </c>
      <c r="W47" s="11" t="s">
        <v>1231</v>
      </c>
    </row>
  </sheetData>
  <autoFilter ref="A4:W47"/>
  <conditionalFormatting sqref="K5:K47">
    <cfRule type="expression" priority="2" aboveAverage="0" equalAverage="0" bottom="0" percent="0" rank="0" text="" dxfId="9">
      <formula>ISNUMBER(SEARCH("GA",K5))</formula>
    </cfRule>
    <cfRule type="expression" priority="3" aboveAverage="0" equalAverage="0" bottom="0" percent="0" rank="0" text="" dxfId="10">
      <formula>ISNUMBER(SEARCH("Beta",K5))</formula>
    </cfRule>
    <cfRule type="expression" priority="4" aboveAverage="0" equalAverage="0" bottom="0" percent="0" rank="0" text="" dxfId="11">
      <formula>ISNUMBER(SEARCH("Marketing",K5))</formula>
    </cfRule>
    <cfRule type="expression" priority="5" aboveAverage="0" equalAverage="0" bottom="0" percent="0" rank="0" text="" dxfId="12">
      <formula>LEFT(K5,4)="None"</formula>
    </cfRule>
  </conditionalFormatting>
  <conditionalFormatting sqref="E5:E47">
    <cfRule type="cellIs" priority="6" operator="equal" aboveAverage="0" equalAverage="0" bottom="0" percent="0" rank="0" text="" dxfId="15">
      <formula>"Yes"</formula>
    </cfRule>
  </conditionalFormatting>
  <hyperlinks>
    <hyperlink ref="D5" r:id="rId1" display="https://www.aikido.dev/"/>
    <hyperlink ref="L5" r:id="rId2" display="https://www.aikido.dev/blog/aikido-altar-open-weight-ai-sovereign-security"/>
    <hyperlink ref="D6" r:id="rId3" display="https://www.amplify.security/"/>
    <hyperlink ref="L6" r:id="rId4" display="https://www.amplify.security/"/>
    <hyperlink ref="D7" r:id="rId5" display="https://apiiro.com/"/>
    <hyperlink ref="L7" r:id="rId6" display="https://apiiro.com/"/>
    <hyperlink ref="D8" r:id="rId7" display="https://aptori.com/"/>
    <hyperlink ref="L8" r:id="rId8" display="https://aptori.com/"/>
    <hyperlink ref="D9" r:id="rId9" display="https://www.armorcode.com/"/>
    <hyperlink ref="L9" r:id="rId10" display="https://www.armorcode.com/"/>
    <hyperlink ref="D10" r:id="rId11" display="https://www.blackduck.com/"/>
    <hyperlink ref="L10" r:id="rId12" display="https://www.blackduck.com/blog/polaris-september-2026-update.html"/>
    <hyperlink ref="D11" r:id="rId13" display="https://checkmarx.com/product/checkmarx-one/"/>
    <hyperlink ref="L11" r:id="rId14" display="https://checkmarx.com/product/developer-assist/"/>
    <hyperlink ref="D12" r:id="rId15" display="https://clover.security/"/>
    <hyperlink ref="L12" r:id="rId16" display="https://clover.security/news/"/>
    <hyperlink ref="D13" r:id="rId17" display="https://www.contrastsecurity.com/contrast-one"/>
    <hyperlink ref="L13" r:id="rId18" display="https://www.contrastsecurity.com/contrast-one"/>
    <hyperlink ref="D14" r:id="rId19" display="https://corgea.com/"/>
    <hyperlink ref="L14" r:id="rId20" display="https://corgea.com/"/>
    <hyperlink ref="D15" r:id="rId21" display="https://www.paloaltonetworks.com/cortex/cloud/application-security"/>
    <hyperlink ref="L15" r:id="rId22" display="https://www.paloaltonetworks.com/cortex/cloud/application-security"/>
    <hyperlink ref="D16" r:id="rId23" display="https://www.crowdstrike.com/en-us/platform/cloud-security/aspm/"/>
    <hyperlink ref="L16" r:id="rId24" display="https://www.crowdstrike.com/en-us/platform/cloud-security/aspm/"/>
    <hyperlink ref="D17" r:id="rId25" display="https://cycode.com/"/>
    <hyperlink ref="L17" r:id="rId26" display="https://cycode.com/"/>
    <hyperlink ref="D18" r:id="rId27" display="https://dryrun.security/"/>
    <hyperlink ref="L18" r:id="rId28" display="https://dryrun.security/"/>
    <hyperlink ref="D19" r:id="rId29" display="https://www.endorlabs.com/"/>
    <hyperlink ref="L19" r:id="rId30" display="https://www.endorlabs.com/learn/byok-for-endor-labs"/>
    <hyperlink ref="D20" r:id="rId31" display="https://escape.tech/"/>
    <hyperlink ref="L20" r:id="rId32" display="https://escape.tech/"/>
    <hyperlink ref="D21" r:id="rId33" display="https://github.com/security/advanced-security"/>
    <hyperlink ref="L21" r:id="rId34" display="https://github.blog/changelog/2026-10-15-agentic-autofix-for-code-scanning-alerts-general-availability"/>
    <hyperlink ref="D22" r:id="rId35" display="https://gomboc.ai/"/>
    <hyperlink ref="L22" r:id="rId36" display="https://gomboc.ai/"/>
    <hyperlink ref="D23" r:id="rId37" display="https://www.hcl-software.com/appscan"/>
    <hyperlink ref="L23" r:id="rId38" display="https://help.hcl-software.com/appscan/ASoC/appseccloud_whats_new_cm.html"/>
    <hyperlink ref="D24" r:id="rId39" display="https://www.invicti.com/product/aspm/"/>
    <hyperlink ref="L24" r:id="rId40" display="https://www.invicti.com/product/aspm/"/>
    <hyperlink ref="D25" r:id="rId41" display="https://jfrog.com/platform/"/>
    <hyperlink ref="L25" r:id="rId42" display="https://jfrog.com/platform/"/>
    <hyperlink ref="D26" r:id="rId43" display="https://www.jit.io/"/>
    <hyperlink ref="L26" r:id="rId44" display="https://www.jit.io/"/>
    <hyperlink ref="D27" r:id="rId45" display="https://www.legitsecurity.com/"/>
    <hyperlink ref="L27" r:id="rId46" display="https://www.legitsecurity.com/"/>
    <hyperlink ref="D28" r:id="rId47" display="https://www.mend.io/"/>
    <hyperlink ref="L28" r:id="rId48" display="https://www.mend.io/"/>
    <hyperlink ref="D29" r:id="rId49" display="https://www.mobb.ai/"/>
    <hyperlink ref="L29" r:id="rId50" display="https://www.mobb.ai/"/>
    <hyperlink ref="D30" r:id="rId51" display="https://www.nullify.ai/"/>
    <hyperlink ref="L30" r:id="rId52" display="https://www.nullify.ai/"/>
    <hyperlink ref="D31" r:id="rId53" display="https://www.opentext.com/products/application-security"/>
    <hyperlink ref="L31" r:id="rId54" display="https://www.opentext.com/products/application-security"/>
    <hyperlink ref="D32" r:id="rId55" display="https://orca.security/"/>
    <hyperlink ref="L32" r:id="rId56" display="https://orca.security/"/>
    <hyperlink ref="D33" r:id="rId57" display="https://www.ox.security/"/>
    <hyperlink ref="L33" r:id="rId58" display="https://www.ox.security/blog/ox-security-launches-ox-cloud-ai-agent-security/"/>
    <hyperlink ref="D34" r:id="rId59" display="https://phoenix.security/"/>
    <hyperlink ref="L34" r:id="rId60" display="https://phoenix.security/phoenix-cli-and-mcp-server/"/>
    <hyperlink ref="D35" r:id="rId61" display="https://www.pixee.ai/"/>
    <hyperlink ref="L35" r:id="rId62" display="https://www.pixee.ai/"/>
    <hyperlink ref="D36" r:id="rId63" display="https://seemplicity.ai/"/>
    <hyperlink ref="L36" r:id="rId64" display="https://appsecsanta.com/aspm-tools"/>
    <hyperlink ref="D37" r:id="rId65" display="https://snyk.io/platform/"/>
    <hyperlink ref="L37" r:id="rId66" display="https://snyk.io/platform/"/>
    <hyperlink ref="D38" r:id="rId67" display="https://www.sonatype.com/"/>
    <hyperlink ref="L38" r:id="rId68" display="https://www.sonatype.com/"/>
    <hyperlink ref="D39" r:id="rId69" display="https://www.tromzo.com/"/>
    <hyperlink ref="L39" r:id="rId70" display="https://www.tromzo.com/"/>
    <hyperlink ref="D40" r:id="rId71" display="https://www.veracode.com/products/"/>
    <hyperlink ref="L40" r:id="rId72" display="https://www.veracode.com/products/risk-manager/"/>
    <hyperlink ref="D41" r:id="rId73" display="https://www.wiz.io/"/>
    <hyperlink ref="L41" r:id="rId74" display="https://www.wiz.io/blog/introducing-wiz-ai-sast"/>
    <hyperlink ref="D42" r:id="rId75" display="https://zeropath.com/"/>
    <hyperlink ref="L42" r:id="rId76" display="https://zeropath.com/"/>
    <hyperlink ref="D43" r:id="rId77" display="https://faradaysec.com/"/>
    <hyperlink ref="L43" r:id="rId78" display="https://faradaysec.com/latest-release/"/>
    <hyperlink ref="D44" r:id="rId79" display="https://about.gitlab.com/pricing/ultimate/"/>
    <hyperlink ref="L44" r:id="rId80" display="https://docs.gitlab.com/releases/19/gitlab-19-5-released/"/>
    <hyperlink ref="D45" r:id="rId81" display="https://www.defectdojo.com/"/>
    <hyperlink ref="L45" r:id="rId82" display="https://github.com/DefectDojo/django-DefectDojo"/>
    <hyperlink ref="D46" r:id="rId83" display="https://semgrep.dev/"/>
    <hyperlink ref="L46" r:id="rId84" display="https://semgrep.dev/"/>
    <hyperlink ref="D47" r:id="rId85" display="https://sysdig.com/"/>
    <hyperlink ref="L47" r:id="rId86" display="https://sysdig.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F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30"/>
    <col collapsed="false" customWidth="true" hidden="false" outlineLevel="0" max="4" min="4" style="0" width="16"/>
    <col collapsed="false" customWidth="true" hidden="false" outlineLevel="0" max="5" min="5" style="0" width="90"/>
    <col collapsed="false" customWidth="true" hidden="false" outlineLevel="0" max="6" min="6" style="0" width="40"/>
  </cols>
  <sheetData>
    <row r="1" customFormat="false" ht="19.7" hidden="false" customHeight="false" outlineLevel="0" collapsed="false">
      <c r="A1" s="1" t="s">
        <v>3781</v>
      </c>
    </row>
    <row r="2" customFormat="false" ht="15" hidden="false" customHeight="false" outlineLevel="0" collapsed="false">
      <c r="A2" s="2" t="s">
        <v>3782</v>
      </c>
    </row>
    <row r="4" customFormat="false" ht="31.5" hidden="false" customHeight="true" outlineLevel="0" collapsed="false">
      <c r="A4" s="7" t="s">
        <v>3783</v>
      </c>
      <c r="B4" s="7" t="s">
        <v>57</v>
      </c>
      <c r="C4" s="7" t="s">
        <v>69</v>
      </c>
      <c r="D4" s="7" t="s">
        <v>3784</v>
      </c>
      <c r="E4" s="7" t="s">
        <v>3785</v>
      </c>
      <c r="F4" s="7" t="s">
        <v>3786</v>
      </c>
    </row>
    <row r="5" customFormat="false" ht="36" hidden="false" customHeight="true" outlineLevel="0" collapsed="false">
      <c r="A5" s="11" t="s">
        <v>789</v>
      </c>
      <c r="B5" s="11" t="s">
        <v>32</v>
      </c>
      <c r="C5" s="8" t="s">
        <v>86</v>
      </c>
      <c r="D5" s="11" t="s">
        <v>3787</v>
      </c>
      <c r="E5" s="11" t="s">
        <v>3788</v>
      </c>
      <c r="F5" s="17" t="s">
        <v>3789</v>
      </c>
    </row>
    <row r="6" customFormat="false" ht="48.75" hidden="false" customHeight="true" outlineLevel="0" collapsed="false">
      <c r="A6" s="11" t="s">
        <v>789</v>
      </c>
      <c r="B6" s="11" t="s">
        <v>36</v>
      </c>
      <c r="C6" s="8" t="s">
        <v>423</v>
      </c>
      <c r="D6" s="11" t="s">
        <v>3787</v>
      </c>
      <c r="E6" s="11" t="s">
        <v>3790</v>
      </c>
      <c r="F6" s="17" t="s">
        <v>3789</v>
      </c>
    </row>
    <row r="7" customFormat="false" ht="60.75" hidden="false" customHeight="true" outlineLevel="0" collapsed="false">
      <c r="A7" s="11" t="s">
        <v>789</v>
      </c>
      <c r="B7" s="11" t="s">
        <v>38</v>
      </c>
      <c r="C7" s="8" t="s">
        <v>545</v>
      </c>
      <c r="D7" s="11" t="s">
        <v>3791</v>
      </c>
      <c r="E7" s="11" t="s">
        <v>3792</v>
      </c>
      <c r="F7" s="17" t="s">
        <v>3793</v>
      </c>
    </row>
    <row r="8" customFormat="false" ht="72.75" hidden="false" customHeight="true" outlineLevel="0" collapsed="false">
      <c r="A8" s="11" t="s">
        <v>3794</v>
      </c>
      <c r="B8" s="11" t="s">
        <v>32</v>
      </c>
      <c r="C8" s="8" t="s">
        <v>280</v>
      </c>
      <c r="D8" s="11" t="s">
        <v>3795</v>
      </c>
      <c r="E8" s="11" t="s">
        <v>3796</v>
      </c>
      <c r="F8" s="17" t="s">
        <v>3797</v>
      </c>
    </row>
    <row r="9" customFormat="false" ht="60.75" hidden="false" customHeight="true" outlineLevel="0" collapsed="false">
      <c r="A9" s="11" t="s">
        <v>3794</v>
      </c>
      <c r="B9" s="11" t="s">
        <v>36</v>
      </c>
      <c r="C9" s="8" t="s">
        <v>427</v>
      </c>
      <c r="D9" s="11" t="s">
        <v>3795</v>
      </c>
      <c r="E9" s="11" t="s">
        <v>3798</v>
      </c>
      <c r="F9" s="17" t="s">
        <v>3799</v>
      </c>
    </row>
    <row r="10" customFormat="false" ht="24" hidden="false" customHeight="true" outlineLevel="0" collapsed="false">
      <c r="A10" s="11" t="s">
        <v>3794</v>
      </c>
      <c r="B10" s="11" t="s">
        <v>42</v>
      </c>
      <c r="C10" s="8" t="s">
        <v>694</v>
      </c>
      <c r="D10" s="11" t="s">
        <v>3795</v>
      </c>
      <c r="E10" s="11" t="s">
        <v>3800</v>
      </c>
      <c r="F10" s="17" t="s">
        <v>3797</v>
      </c>
    </row>
    <row r="11" customFormat="false" ht="48.75" hidden="false" customHeight="true" outlineLevel="0" collapsed="false">
      <c r="A11" s="11" t="s">
        <v>3801</v>
      </c>
      <c r="B11" s="11" t="s">
        <v>30</v>
      </c>
      <c r="C11" s="8" t="s">
        <v>188</v>
      </c>
      <c r="D11" s="11" t="s">
        <v>3787</v>
      </c>
      <c r="E11" s="11" t="s">
        <v>3802</v>
      </c>
      <c r="F11" s="17" t="s">
        <v>3803</v>
      </c>
    </row>
    <row r="12" customFormat="false" ht="60.75" hidden="false" customHeight="true" outlineLevel="0" collapsed="false">
      <c r="A12" s="11" t="s">
        <v>3801</v>
      </c>
      <c r="B12" s="11" t="s">
        <v>30</v>
      </c>
      <c r="C12" s="8" t="s">
        <v>201</v>
      </c>
      <c r="D12" s="11" t="s">
        <v>3795</v>
      </c>
      <c r="E12" s="11" t="s">
        <v>3804</v>
      </c>
      <c r="F12" s="17" t="s">
        <v>3805</v>
      </c>
    </row>
    <row r="13" customFormat="false" ht="60.75" hidden="false" customHeight="true" outlineLevel="0" collapsed="false">
      <c r="A13" s="11" t="s">
        <v>3801</v>
      </c>
      <c r="B13" s="11" t="s">
        <v>30</v>
      </c>
      <c r="C13" s="8" t="s">
        <v>201</v>
      </c>
      <c r="D13" s="11" t="s">
        <v>3795</v>
      </c>
      <c r="E13" s="11" t="s">
        <v>3806</v>
      </c>
      <c r="F13" s="17" t="s">
        <v>807</v>
      </c>
    </row>
    <row r="14" customFormat="false" ht="97.5" hidden="false" customHeight="true" outlineLevel="0" collapsed="false">
      <c r="A14" s="11" t="s">
        <v>3801</v>
      </c>
      <c r="B14" s="11" t="s">
        <v>30</v>
      </c>
      <c r="C14" s="8" t="s">
        <v>240</v>
      </c>
      <c r="D14" s="11" t="s">
        <v>3791</v>
      </c>
      <c r="E14" s="11" t="s">
        <v>3807</v>
      </c>
      <c r="F14" s="17" t="s">
        <v>1225</v>
      </c>
    </row>
    <row r="15" customFormat="false" ht="48.75" hidden="false" customHeight="true" outlineLevel="0" collapsed="false">
      <c r="A15" s="11" t="s">
        <v>3801</v>
      </c>
      <c r="B15" s="11" t="s">
        <v>32</v>
      </c>
      <c r="C15" s="8" t="s">
        <v>268</v>
      </c>
      <c r="D15" s="11" t="s">
        <v>3787</v>
      </c>
      <c r="E15" s="11" t="s">
        <v>3808</v>
      </c>
      <c r="F15" s="17" t="s">
        <v>3803</v>
      </c>
    </row>
    <row r="16" customFormat="false" ht="72.75" hidden="false" customHeight="true" outlineLevel="0" collapsed="false">
      <c r="A16" s="11" t="s">
        <v>3801</v>
      </c>
      <c r="B16" s="11" t="s">
        <v>32</v>
      </c>
      <c r="C16" s="8" t="s">
        <v>317</v>
      </c>
      <c r="D16" s="11" t="s">
        <v>3791</v>
      </c>
      <c r="E16" s="11" t="s">
        <v>3809</v>
      </c>
      <c r="F16" s="17" t="s">
        <v>1225</v>
      </c>
    </row>
    <row r="17" customFormat="false" ht="60.75" hidden="false" customHeight="true" outlineLevel="0" collapsed="false">
      <c r="A17" s="11" t="s">
        <v>3801</v>
      </c>
      <c r="B17" s="11" t="s">
        <v>32</v>
      </c>
      <c r="C17" s="8" t="s">
        <v>285</v>
      </c>
      <c r="D17" s="11" t="s">
        <v>3791</v>
      </c>
      <c r="E17" s="11" t="s">
        <v>3810</v>
      </c>
      <c r="F17" s="17" t="s">
        <v>3811</v>
      </c>
    </row>
    <row r="18" customFormat="false" ht="36" hidden="false" customHeight="true" outlineLevel="0" collapsed="false">
      <c r="A18" s="11" t="s">
        <v>3801</v>
      </c>
      <c r="B18" s="11" t="s">
        <v>32</v>
      </c>
      <c r="C18" s="8" t="s">
        <v>265</v>
      </c>
      <c r="D18" s="11" t="s">
        <v>3787</v>
      </c>
      <c r="E18" s="11" t="s">
        <v>3812</v>
      </c>
      <c r="F18" s="17" t="s">
        <v>3811</v>
      </c>
    </row>
    <row r="19" customFormat="false" ht="48.75" hidden="false" customHeight="true" outlineLevel="0" collapsed="false">
      <c r="A19" s="11" t="s">
        <v>3801</v>
      </c>
      <c r="B19" s="11" t="s">
        <v>32</v>
      </c>
      <c r="C19" s="8" t="s">
        <v>273</v>
      </c>
      <c r="D19" s="11" t="s">
        <v>3787</v>
      </c>
      <c r="E19" s="11" t="s">
        <v>3813</v>
      </c>
      <c r="F19" s="17" t="s">
        <v>3811</v>
      </c>
    </row>
    <row r="20" customFormat="false" ht="36" hidden="false" customHeight="true" outlineLevel="0" collapsed="false">
      <c r="A20" s="11" t="s">
        <v>3801</v>
      </c>
      <c r="B20" s="11" t="s">
        <v>34</v>
      </c>
      <c r="C20" s="8" t="s">
        <v>361</v>
      </c>
      <c r="D20" s="11" t="s">
        <v>3787</v>
      </c>
      <c r="E20" s="11" t="s">
        <v>3814</v>
      </c>
      <c r="F20" s="17" t="s">
        <v>3815</v>
      </c>
    </row>
    <row r="21" customFormat="false" ht="72.75" hidden="false" customHeight="true" outlineLevel="0" collapsed="false">
      <c r="A21" s="11" t="s">
        <v>3801</v>
      </c>
      <c r="B21" s="11" t="s">
        <v>34</v>
      </c>
      <c r="C21" s="8" t="s">
        <v>403</v>
      </c>
      <c r="D21" s="11" t="s">
        <v>3791</v>
      </c>
      <c r="E21" s="11" t="s">
        <v>3816</v>
      </c>
      <c r="F21" s="17" t="s">
        <v>1225</v>
      </c>
    </row>
    <row r="22" customFormat="false" ht="60.75" hidden="false" customHeight="true" outlineLevel="0" collapsed="false">
      <c r="A22" s="11" t="s">
        <v>3801</v>
      </c>
      <c r="B22" s="11" t="s">
        <v>36</v>
      </c>
      <c r="C22" s="8" t="s">
        <v>433</v>
      </c>
      <c r="D22" s="11" t="s">
        <v>3791</v>
      </c>
      <c r="E22" s="11" t="s">
        <v>3817</v>
      </c>
      <c r="F22" s="17" t="s">
        <v>3811</v>
      </c>
    </row>
    <row r="23" customFormat="false" ht="60.75" hidden="false" customHeight="true" outlineLevel="0" collapsed="false">
      <c r="A23" s="11" t="s">
        <v>3801</v>
      </c>
      <c r="B23" s="11" t="s">
        <v>36</v>
      </c>
      <c r="C23" s="8" t="s">
        <v>471</v>
      </c>
      <c r="D23" s="11" t="s">
        <v>3791</v>
      </c>
      <c r="E23" s="11" t="s">
        <v>3818</v>
      </c>
      <c r="F23" s="17" t="s">
        <v>1225</v>
      </c>
    </row>
    <row r="24" customFormat="false" ht="84.75" hidden="false" customHeight="true" outlineLevel="0" collapsed="false">
      <c r="A24" s="11" t="s">
        <v>3801</v>
      </c>
      <c r="B24" s="11" t="s">
        <v>40</v>
      </c>
      <c r="C24" s="8" t="s">
        <v>644</v>
      </c>
      <c r="D24" s="11" t="s">
        <v>3791</v>
      </c>
      <c r="E24" s="11" t="s">
        <v>3819</v>
      </c>
      <c r="F24" s="17" t="s">
        <v>1225</v>
      </c>
    </row>
    <row r="25" customFormat="false" ht="48.75" hidden="false" customHeight="true" outlineLevel="0" collapsed="false">
      <c r="A25" s="11" t="s">
        <v>3801</v>
      </c>
      <c r="B25" s="11" t="s">
        <v>42</v>
      </c>
      <c r="C25" s="8" t="s">
        <v>72</v>
      </c>
      <c r="D25" s="11" t="s">
        <v>3787</v>
      </c>
      <c r="E25" s="11" t="s">
        <v>3820</v>
      </c>
      <c r="F25" s="17" t="s">
        <v>3803</v>
      </c>
    </row>
    <row r="26" customFormat="false" ht="60.75" hidden="false" customHeight="true" outlineLevel="0" collapsed="false">
      <c r="A26" s="11" t="s">
        <v>3801</v>
      </c>
      <c r="B26" s="11" t="s">
        <v>42</v>
      </c>
      <c r="C26" s="8" t="s">
        <v>694</v>
      </c>
      <c r="D26" s="11" t="s">
        <v>3795</v>
      </c>
      <c r="E26" s="11" t="s">
        <v>3821</v>
      </c>
      <c r="F26" s="17" t="s">
        <v>807</v>
      </c>
    </row>
    <row r="27" customFormat="false" ht="36" hidden="false" customHeight="true" outlineLevel="0" collapsed="false">
      <c r="A27" s="11" t="s">
        <v>3801</v>
      </c>
      <c r="B27" s="11" t="s">
        <v>42</v>
      </c>
      <c r="C27" s="8" t="s">
        <v>694</v>
      </c>
      <c r="D27" s="11" t="s">
        <v>3795</v>
      </c>
      <c r="E27" s="11" t="s">
        <v>3822</v>
      </c>
      <c r="F27" s="17" t="s">
        <v>3805</v>
      </c>
    </row>
    <row r="28" customFormat="false" ht="97.5" hidden="false" customHeight="true" outlineLevel="0" collapsed="false">
      <c r="A28" s="11" t="s">
        <v>3801</v>
      </c>
      <c r="B28" s="11" t="s">
        <v>42</v>
      </c>
      <c r="C28" s="8" t="s">
        <v>760</v>
      </c>
      <c r="D28" s="11" t="s">
        <v>3791</v>
      </c>
      <c r="E28" s="11" t="s">
        <v>3823</v>
      </c>
      <c r="F28" s="17" t="s">
        <v>1225</v>
      </c>
    </row>
    <row r="29" customFormat="false" ht="60.75" hidden="false" customHeight="true" outlineLevel="0" collapsed="false">
      <c r="A29" s="11" t="s">
        <v>3824</v>
      </c>
      <c r="B29" s="11" t="s">
        <v>30</v>
      </c>
      <c r="C29" s="8" t="s">
        <v>198</v>
      </c>
      <c r="D29" s="11" t="s">
        <v>3787</v>
      </c>
      <c r="E29" s="11" t="s">
        <v>3825</v>
      </c>
      <c r="F29" s="17" t="s">
        <v>1180</v>
      </c>
    </row>
    <row r="30" customFormat="false" ht="60.75" hidden="false" customHeight="true" outlineLevel="0" collapsed="false">
      <c r="A30" s="11" t="s">
        <v>3824</v>
      </c>
      <c r="B30" s="11" t="s">
        <v>32</v>
      </c>
      <c r="C30" s="8" t="s">
        <v>310</v>
      </c>
      <c r="D30" s="11" t="s">
        <v>3787</v>
      </c>
      <c r="E30" s="11" t="s">
        <v>3826</v>
      </c>
      <c r="F30" s="17" t="s">
        <v>3827</v>
      </c>
    </row>
    <row r="31" customFormat="false" ht="48.75" hidden="false" customHeight="true" outlineLevel="0" collapsed="false">
      <c r="A31" s="11" t="s">
        <v>3824</v>
      </c>
      <c r="B31" s="11" t="s">
        <v>32</v>
      </c>
      <c r="C31" s="8" t="s">
        <v>307</v>
      </c>
      <c r="D31" s="11" t="s">
        <v>3787</v>
      </c>
      <c r="E31" s="11" t="s">
        <v>3828</v>
      </c>
      <c r="F31" s="17" t="s">
        <v>3829</v>
      </c>
    </row>
    <row r="32" customFormat="false" ht="60.75" hidden="false" customHeight="true" outlineLevel="0" collapsed="false">
      <c r="A32" s="11" t="s">
        <v>3824</v>
      </c>
      <c r="B32" s="11" t="s">
        <v>32</v>
      </c>
      <c r="C32" s="8" t="s">
        <v>337</v>
      </c>
      <c r="D32" s="11" t="s">
        <v>3791</v>
      </c>
      <c r="E32" s="11" t="s">
        <v>3830</v>
      </c>
      <c r="F32" s="17" t="s">
        <v>3831</v>
      </c>
    </row>
    <row r="33" customFormat="false" ht="72.75" hidden="false" customHeight="true" outlineLevel="0" collapsed="false">
      <c r="A33" s="11" t="s">
        <v>3824</v>
      </c>
      <c r="B33" s="11" t="s">
        <v>34</v>
      </c>
      <c r="C33" s="8" t="s">
        <v>408</v>
      </c>
      <c r="D33" s="11" t="s">
        <v>3787</v>
      </c>
      <c r="E33" s="11" t="s">
        <v>3832</v>
      </c>
      <c r="F33" s="17" t="s">
        <v>3833</v>
      </c>
    </row>
    <row r="34" customFormat="false" ht="48.75" hidden="false" customHeight="true" outlineLevel="0" collapsed="false">
      <c r="A34" s="11" t="s">
        <v>3824</v>
      </c>
      <c r="B34" s="11" t="s">
        <v>36</v>
      </c>
      <c r="C34" s="8" t="s">
        <v>492</v>
      </c>
      <c r="D34" s="11" t="s">
        <v>3791</v>
      </c>
      <c r="E34" s="11" t="s">
        <v>3834</v>
      </c>
      <c r="F34" s="17" t="s">
        <v>3831</v>
      </c>
    </row>
    <row r="35" customFormat="false" ht="48.75" hidden="false" customHeight="true" outlineLevel="0" collapsed="false">
      <c r="A35" s="11" t="s">
        <v>3824</v>
      </c>
      <c r="B35" s="11" t="s">
        <v>36</v>
      </c>
      <c r="C35" s="8" t="s">
        <v>459</v>
      </c>
      <c r="D35" s="11" t="s">
        <v>3787</v>
      </c>
      <c r="E35" s="11" t="s">
        <v>3835</v>
      </c>
      <c r="F35" s="17" t="s">
        <v>3827</v>
      </c>
    </row>
    <row r="36" customFormat="false" ht="36" hidden="false" customHeight="true" outlineLevel="0" collapsed="false">
      <c r="A36" s="11" t="s">
        <v>3824</v>
      </c>
      <c r="B36" s="11" t="s">
        <v>42</v>
      </c>
      <c r="C36" s="8" t="s">
        <v>752</v>
      </c>
      <c r="D36" s="11" t="s">
        <v>3787</v>
      </c>
      <c r="E36" s="11" t="s">
        <v>3836</v>
      </c>
      <c r="F36" s="17" t="s">
        <v>3837</v>
      </c>
    </row>
    <row r="37" customFormat="false" ht="48.75" hidden="false" customHeight="true" outlineLevel="0" collapsed="false">
      <c r="A37" s="11" t="s">
        <v>3824</v>
      </c>
      <c r="B37" s="11" t="s">
        <v>42</v>
      </c>
      <c r="C37" s="8" t="s">
        <v>689</v>
      </c>
      <c r="D37" s="11" t="s">
        <v>3787</v>
      </c>
      <c r="E37" s="11" t="s">
        <v>3838</v>
      </c>
      <c r="F37" s="17" t="s">
        <v>1180</v>
      </c>
    </row>
    <row r="38" customFormat="false" ht="60.75" hidden="false" customHeight="true" outlineLevel="0" collapsed="false">
      <c r="A38" s="11" t="s">
        <v>3824</v>
      </c>
      <c r="B38" s="11" t="s">
        <v>42</v>
      </c>
      <c r="C38" s="8" t="s">
        <v>743</v>
      </c>
      <c r="D38" s="11" t="s">
        <v>3787</v>
      </c>
      <c r="E38" s="11" t="s">
        <v>3839</v>
      </c>
      <c r="F38" s="17" t="s">
        <v>3827</v>
      </c>
    </row>
    <row r="39" customFormat="false" ht="36" hidden="false" customHeight="true" outlineLevel="0" collapsed="false">
      <c r="A39" s="11" t="s">
        <v>3840</v>
      </c>
      <c r="B39" s="11" t="s">
        <v>30</v>
      </c>
      <c r="C39" s="8" t="s">
        <v>226</v>
      </c>
      <c r="D39" s="11" t="s">
        <v>3791</v>
      </c>
      <c r="E39" s="11" t="s">
        <v>3841</v>
      </c>
      <c r="F39" s="17" t="s">
        <v>3842</v>
      </c>
    </row>
    <row r="40" customFormat="false" ht="60.75" hidden="false" customHeight="true" outlineLevel="0" collapsed="false">
      <c r="A40" s="11" t="s">
        <v>3840</v>
      </c>
      <c r="B40" s="11" t="s">
        <v>30</v>
      </c>
      <c r="C40" s="8" t="s">
        <v>224</v>
      </c>
      <c r="D40" s="11" t="s">
        <v>3787</v>
      </c>
      <c r="E40" s="11" t="s">
        <v>3843</v>
      </c>
      <c r="F40" s="17" t="s">
        <v>3844</v>
      </c>
    </row>
    <row r="41" customFormat="false" ht="36" hidden="false" customHeight="true" outlineLevel="0" collapsed="false">
      <c r="A41" s="11" t="s">
        <v>3840</v>
      </c>
      <c r="B41" s="11" t="s">
        <v>30</v>
      </c>
      <c r="C41" s="8" t="s">
        <v>201</v>
      </c>
      <c r="D41" s="11" t="s">
        <v>3787</v>
      </c>
      <c r="E41" s="11" t="s">
        <v>3845</v>
      </c>
      <c r="F41" s="17" t="s">
        <v>3846</v>
      </c>
    </row>
    <row r="42" customFormat="false" ht="48.75" hidden="false" customHeight="true" outlineLevel="0" collapsed="false">
      <c r="A42" s="11" t="s">
        <v>3840</v>
      </c>
      <c r="B42" s="11" t="s">
        <v>30</v>
      </c>
      <c r="C42" s="8" t="s">
        <v>254</v>
      </c>
      <c r="D42" s="11" t="s">
        <v>3787</v>
      </c>
      <c r="E42" s="11" t="s">
        <v>3847</v>
      </c>
      <c r="F42" s="17" t="s">
        <v>3848</v>
      </c>
    </row>
    <row r="43" customFormat="false" ht="36" hidden="false" customHeight="true" outlineLevel="0" collapsed="false">
      <c r="A43" s="11" t="s">
        <v>3840</v>
      </c>
      <c r="B43" s="11" t="s">
        <v>32</v>
      </c>
      <c r="C43" s="8" t="s">
        <v>313</v>
      </c>
      <c r="D43" s="11" t="s">
        <v>3791</v>
      </c>
      <c r="E43" s="11" t="s">
        <v>3849</v>
      </c>
      <c r="F43" s="17" t="s">
        <v>3842</v>
      </c>
    </row>
    <row r="44" customFormat="false" ht="24" hidden="false" customHeight="true" outlineLevel="0" collapsed="false">
      <c r="A44" s="11" t="s">
        <v>3840</v>
      </c>
      <c r="B44" s="11" t="s">
        <v>32</v>
      </c>
      <c r="C44" s="8" t="s">
        <v>280</v>
      </c>
      <c r="D44" s="11" t="s">
        <v>3787</v>
      </c>
      <c r="E44" s="11" t="s">
        <v>3850</v>
      </c>
      <c r="F44" s="17" t="s">
        <v>3851</v>
      </c>
    </row>
    <row r="45" customFormat="false" ht="36" hidden="false" customHeight="true" outlineLevel="0" collapsed="false">
      <c r="A45" s="11" t="s">
        <v>3840</v>
      </c>
      <c r="B45" s="11" t="s">
        <v>34</v>
      </c>
      <c r="C45" s="8" t="s">
        <v>364</v>
      </c>
      <c r="D45" s="11" t="s">
        <v>3787</v>
      </c>
      <c r="E45" s="11" t="s">
        <v>3852</v>
      </c>
      <c r="F45" s="17" t="s">
        <v>3853</v>
      </c>
    </row>
    <row r="46" customFormat="false" ht="36" hidden="false" customHeight="true" outlineLevel="0" collapsed="false">
      <c r="A46" s="11" t="s">
        <v>3840</v>
      </c>
      <c r="B46" s="11" t="s">
        <v>36</v>
      </c>
      <c r="C46" s="8" t="s">
        <v>460</v>
      </c>
      <c r="D46" s="11" t="s">
        <v>3791</v>
      </c>
      <c r="E46" s="11" t="s">
        <v>3854</v>
      </c>
      <c r="F46" s="17" t="s">
        <v>3855</v>
      </c>
    </row>
    <row r="47" customFormat="false" ht="60.75" hidden="false" customHeight="true" outlineLevel="0" collapsed="false">
      <c r="A47" s="11" t="s">
        <v>3840</v>
      </c>
      <c r="B47" s="11" t="s">
        <v>42</v>
      </c>
      <c r="C47" s="8" t="s">
        <v>749</v>
      </c>
      <c r="D47" s="11" t="s">
        <v>3791</v>
      </c>
      <c r="E47" s="11" t="s">
        <v>3856</v>
      </c>
      <c r="F47" s="17" t="s">
        <v>3857</v>
      </c>
    </row>
    <row r="48" customFormat="false" ht="36" hidden="false" customHeight="true" outlineLevel="0" collapsed="false">
      <c r="A48" s="11" t="s">
        <v>3840</v>
      </c>
      <c r="B48" s="11" t="s">
        <v>42</v>
      </c>
      <c r="C48" s="8" t="s">
        <v>694</v>
      </c>
      <c r="D48" s="11" t="s">
        <v>3787</v>
      </c>
      <c r="E48" s="11" t="s">
        <v>3858</v>
      </c>
      <c r="F48" s="17" t="s">
        <v>3859</v>
      </c>
    </row>
    <row r="49" customFormat="false" ht="36" hidden="false" customHeight="true" outlineLevel="0" collapsed="false">
      <c r="A49" s="11" t="s">
        <v>3860</v>
      </c>
      <c r="B49" s="11" t="s">
        <v>30</v>
      </c>
      <c r="C49" s="8" t="s">
        <v>198</v>
      </c>
      <c r="D49" s="11" t="s">
        <v>3787</v>
      </c>
      <c r="E49" s="11" t="s">
        <v>3861</v>
      </c>
      <c r="F49" s="17" t="s">
        <v>3862</v>
      </c>
    </row>
    <row r="50" customFormat="false" ht="24" hidden="false" customHeight="true" outlineLevel="0" collapsed="false">
      <c r="A50" s="11" t="s">
        <v>3860</v>
      </c>
      <c r="B50" s="11" t="s">
        <v>32</v>
      </c>
      <c r="C50" s="8" t="s">
        <v>280</v>
      </c>
      <c r="D50" s="11" t="s">
        <v>3787</v>
      </c>
      <c r="E50" s="11" t="s">
        <v>3863</v>
      </c>
      <c r="F50" s="17" t="s">
        <v>3864</v>
      </c>
    </row>
    <row r="51" customFormat="false" ht="36" hidden="false" customHeight="true" outlineLevel="0" collapsed="false">
      <c r="A51" s="11" t="s">
        <v>3860</v>
      </c>
      <c r="B51" s="11" t="s">
        <v>42</v>
      </c>
      <c r="C51" s="8" t="s">
        <v>689</v>
      </c>
      <c r="D51" s="11" t="s">
        <v>3787</v>
      </c>
      <c r="E51" s="11" t="s">
        <v>3865</v>
      </c>
      <c r="F51" s="17" t="s">
        <v>3862</v>
      </c>
    </row>
    <row r="52" customFormat="false" ht="24" hidden="false" customHeight="true" outlineLevel="0" collapsed="false">
      <c r="A52" s="11" t="s">
        <v>3866</v>
      </c>
      <c r="B52" s="11" t="s">
        <v>30</v>
      </c>
      <c r="C52" s="8" t="s">
        <v>201</v>
      </c>
      <c r="D52" s="11" t="s">
        <v>3791</v>
      </c>
      <c r="E52" s="11" t="s">
        <v>3867</v>
      </c>
      <c r="F52" s="17" t="s">
        <v>3868</v>
      </c>
    </row>
    <row r="53" customFormat="false" ht="36" hidden="false" customHeight="true" outlineLevel="0" collapsed="false">
      <c r="A53" s="11" t="s">
        <v>3866</v>
      </c>
      <c r="B53" s="11" t="s">
        <v>34</v>
      </c>
      <c r="C53" s="8" t="s">
        <v>361</v>
      </c>
      <c r="D53" s="11" t="s">
        <v>3787</v>
      </c>
      <c r="E53" s="11" t="s">
        <v>3869</v>
      </c>
      <c r="F53" s="17" t="s">
        <v>3870</v>
      </c>
    </row>
    <row r="54" customFormat="false" ht="24" hidden="false" customHeight="true" outlineLevel="0" collapsed="false">
      <c r="A54" s="11" t="s">
        <v>3866</v>
      </c>
      <c r="B54" s="11" t="s">
        <v>42</v>
      </c>
      <c r="C54" s="8" t="s">
        <v>694</v>
      </c>
      <c r="D54" s="11" t="s">
        <v>3791</v>
      </c>
      <c r="E54" s="11" t="s">
        <v>3871</v>
      </c>
      <c r="F54" s="17" t="s">
        <v>3868</v>
      </c>
    </row>
    <row r="55" customFormat="false" ht="48.75" hidden="false" customHeight="true" outlineLevel="0" collapsed="false">
      <c r="A55" s="11" t="s">
        <v>3872</v>
      </c>
      <c r="B55" s="11" t="s">
        <v>30</v>
      </c>
      <c r="C55" s="8" t="s">
        <v>224</v>
      </c>
      <c r="D55" s="11" t="s">
        <v>3791</v>
      </c>
      <c r="E55" s="11" t="s">
        <v>3873</v>
      </c>
      <c r="F55" s="17" t="s">
        <v>3874</v>
      </c>
    </row>
    <row r="56" customFormat="false" ht="72.75" hidden="false" customHeight="true" outlineLevel="0" collapsed="false">
      <c r="A56" s="11" t="s">
        <v>3872</v>
      </c>
      <c r="B56" s="11" t="s">
        <v>30</v>
      </c>
      <c r="C56" s="8" t="s">
        <v>194</v>
      </c>
      <c r="D56" s="11" t="s">
        <v>3791</v>
      </c>
      <c r="E56" s="11" t="s">
        <v>3875</v>
      </c>
      <c r="F56" s="17" t="s">
        <v>3876</v>
      </c>
    </row>
    <row r="57" customFormat="false" ht="24" hidden="false" customHeight="true" outlineLevel="0" collapsed="false">
      <c r="A57" s="11" t="s">
        <v>3872</v>
      </c>
      <c r="B57" s="11" t="s">
        <v>30</v>
      </c>
      <c r="C57" s="8" t="s">
        <v>194</v>
      </c>
      <c r="D57" s="11" t="s">
        <v>3787</v>
      </c>
      <c r="E57" s="11" t="s">
        <v>3877</v>
      </c>
      <c r="F57" s="17" t="s">
        <v>3878</v>
      </c>
    </row>
    <row r="58" customFormat="false" ht="60.75" hidden="false" customHeight="true" outlineLevel="0" collapsed="false">
      <c r="A58" s="11" t="s">
        <v>3872</v>
      </c>
      <c r="B58" s="11" t="s">
        <v>32</v>
      </c>
      <c r="C58" s="8" t="s">
        <v>306</v>
      </c>
      <c r="D58" s="11" t="s">
        <v>3791</v>
      </c>
      <c r="E58" s="11" t="s">
        <v>3879</v>
      </c>
      <c r="F58" s="17" t="s">
        <v>3874</v>
      </c>
    </row>
    <row r="59" customFormat="false" ht="48.75" hidden="false" customHeight="true" outlineLevel="0" collapsed="false">
      <c r="A59" s="11" t="s">
        <v>3872</v>
      </c>
      <c r="B59" s="11" t="s">
        <v>34</v>
      </c>
      <c r="C59" s="8" t="s">
        <v>388</v>
      </c>
      <c r="D59" s="11" t="s">
        <v>3791</v>
      </c>
      <c r="E59" s="11" t="s">
        <v>3880</v>
      </c>
      <c r="F59" s="17" t="s">
        <v>3881</v>
      </c>
    </row>
    <row r="60" customFormat="false" ht="36" hidden="false" customHeight="true" outlineLevel="0" collapsed="false">
      <c r="A60" s="11" t="s">
        <v>3872</v>
      </c>
      <c r="B60" s="11" t="s">
        <v>36</v>
      </c>
      <c r="C60" s="8" t="s">
        <v>457</v>
      </c>
      <c r="D60" s="11" t="s">
        <v>3791</v>
      </c>
      <c r="E60" s="11" t="s">
        <v>3882</v>
      </c>
      <c r="F60" s="17" t="s">
        <v>3881</v>
      </c>
    </row>
    <row r="61" customFormat="false" ht="36" hidden="false" customHeight="true" outlineLevel="0" collapsed="false">
      <c r="A61" s="11" t="s">
        <v>3872</v>
      </c>
      <c r="B61" s="11" t="s">
        <v>42</v>
      </c>
      <c r="C61" s="8" t="s">
        <v>740</v>
      </c>
      <c r="D61" s="11" t="s">
        <v>3791</v>
      </c>
      <c r="E61" s="11" t="s">
        <v>3883</v>
      </c>
      <c r="F61" s="17" t="s">
        <v>3874</v>
      </c>
    </row>
    <row r="62" customFormat="false" ht="36" hidden="false" customHeight="true" outlineLevel="0" collapsed="false">
      <c r="A62" s="11" t="s">
        <v>3872</v>
      </c>
      <c r="B62" s="11" t="s">
        <v>42</v>
      </c>
      <c r="C62" s="8" t="s">
        <v>714</v>
      </c>
      <c r="D62" s="11" t="s">
        <v>3884</v>
      </c>
      <c r="E62" s="11" t="s">
        <v>3885</v>
      </c>
      <c r="F62" s="17" t="s">
        <v>3886</v>
      </c>
    </row>
    <row r="63" customFormat="false" ht="36" hidden="false" customHeight="true" outlineLevel="0" collapsed="false">
      <c r="A63" s="11" t="s">
        <v>3887</v>
      </c>
      <c r="B63" s="11" t="s">
        <v>34</v>
      </c>
      <c r="C63" s="8" t="s">
        <v>361</v>
      </c>
      <c r="D63" s="11" t="s">
        <v>3787</v>
      </c>
      <c r="E63" s="11" t="s">
        <v>3888</v>
      </c>
      <c r="F63" s="17" t="s">
        <v>3889</v>
      </c>
    </row>
    <row r="64" customFormat="false" ht="72.75" hidden="false" customHeight="true" outlineLevel="0" collapsed="false">
      <c r="A64" s="11" t="s">
        <v>3887</v>
      </c>
      <c r="B64" s="11" t="s">
        <v>34</v>
      </c>
      <c r="C64" s="8" t="s">
        <v>364</v>
      </c>
      <c r="D64" s="11" t="s">
        <v>3787</v>
      </c>
      <c r="E64" s="11" t="s">
        <v>3890</v>
      </c>
      <c r="F64" s="17" t="s">
        <v>927</v>
      </c>
    </row>
    <row r="65" customFormat="false" ht="24" hidden="false" customHeight="true" outlineLevel="0" collapsed="false">
      <c r="A65" s="11" t="s">
        <v>3891</v>
      </c>
      <c r="B65" s="11" t="s">
        <v>32</v>
      </c>
      <c r="C65" s="8" t="s">
        <v>307</v>
      </c>
      <c r="D65" s="11" t="s">
        <v>3787</v>
      </c>
      <c r="E65" s="11" t="s">
        <v>3892</v>
      </c>
      <c r="F65" s="17" t="s">
        <v>3893</v>
      </c>
    </row>
    <row r="66" customFormat="false" ht="48.75" hidden="false" customHeight="true" outlineLevel="0" collapsed="false">
      <c r="A66" s="11" t="s">
        <v>3891</v>
      </c>
      <c r="B66" s="11" t="s">
        <v>42</v>
      </c>
      <c r="C66" s="8" t="s">
        <v>752</v>
      </c>
      <c r="D66" s="11" t="s">
        <v>3787</v>
      </c>
      <c r="E66" s="11" t="s">
        <v>3894</v>
      </c>
      <c r="F66" s="17" t="s">
        <v>1219</v>
      </c>
    </row>
    <row r="67" customFormat="false" ht="36" hidden="false" customHeight="true" outlineLevel="0" collapsed="false">
      <c r="A67" s="11" t="s">
        <v>781</v>
      </c>
      <c r="B67" s="11" t="s">
        <v>34</v>
      </c>
      <c r="C67" s="8" t="s">
        <v>364</v>
      </c>
      <c r="D67" s="11" t="s">
        <v>3787</v>
      </c>
      <c r="E67" s="11" t="s">
        <v>3895</v>
      </c>
      <c r="F67" s="17" t="s">
        <v>3896</v>
      </c>
    </row>
    <row r="68" customFormat="false" ht="48.75" hidden="false" customHeight="true" outlineLevel="0" collapsed="false">
      <c r="A68" s="11" t="s">
        <v>3897</v>
      </c>
      <c r="B68" s="11" t="s">
        <v>30</v>
      </c>
      <c r="C68" s="8" t="s">
        <v>240</v>
      </c>
      <c r="D68" s="11" t="s">
        <v>3791</v>
      </c>
      <c r="E68" s="11" t="s">
        <v>3898</v>
      </c>
      <c r="F68" s="17" t="s">
        <v>3899</v>
      </c>
    </row>
    <row r="69" customFormat="false" ht="36" hidden="false" customHeight="true" outlineLevel="0" collapsed="false">
      <c r="A69" s="11" t="s">
        <v>3897</v>
      </c>
      <c r="B69" s="11" t="s">
        <v>36</v>
      </c>
      <c r="C69" s="8" t="s">
        <v>482</v>
      </c>
      <c r="D69" s="11" t="s">
        <v>3791</v>
      </c>
      <c r="E69" s="11" t="s">
        <v>3900</v>
      </c>
      <c r="F69" s="17" t="s">
        <v>3901</v>
      </c>
    </row>
    <row r="70" customFormat="false" ht="24" hidden="false" customHeight="true" outlineLevel="0" collapsed="false">
      <c r="A70" s="11" t="s">
        <v>3897</v>
      </c>
      <c r="B70" s="11" t="s">
        <v>36</v>
      </c>
      <c r="C70" s="8" t="s">
        <v>490</v>
      </c>
      <c r="D70" s="11" t="s">
        <v>3791</v>
      </c>
      <c r="E70" s="11" t="s">
        <v>3902</v>
      </c>
      <c r="F70" s="17" t="s">
        <v>3903</v>
      </c>
    </row>
    <row r="71" customFormat="false" ht="36" hidden="false" customHeight="true" outlineLevel="0" collapsed="false">
      <c r="A71" s="11" t="s">
        <v>3897</v>
      </c>
      <c r="B71" s="11" t="s">
        <v>40</v>
      </c>
      <c r="C71" s="8" t="s">
        <v>595</v>
      </c>
      <c r="D71" s="11" t="s">
        <v>3787</v>
      </c>
      <c r="E71" s="11" t="s">
        <v>3904</v>
      </c>
      <c r="F71" s="17" t="s">
        <v>3905</v>
      </c>
    </row>
    <row r="72" customFormat="false" ht="36" hidden="false" customHeight="true" outlineLevel="0" collapsed="false">
      <c r="A72" s="11" t="s">
        <v>3906</v>
      </c>
      <c r="B72" s="11" t="s">
        <v>30</v>
      </c>
      <c r="C72" s="8" t="s">
        <v>201</v>
      </c>
      <c r="D72" s="11" t="s">
        <v>3787</v>
      </c>
      <c r="E72" s="11" t="s">
        <v>3907</v>
      </c>
      <c r="F72" s="17" t="s">
        <v>3908</v>
      </c>
    </row>
    <row r="73" customFormat="false" ht="36" hidden="false" customHeight="true" outlineLevel="0" collapsed="false">
      <c r="A73" s="11" t="s">
        <v>3906</v>
      </c>
      <c r="B73" s="11" t="s">
        <v>36</v>
      </c>
      <c r="C73" s="8" t="s">
        <v>490</v>
      </c>
      <c r="D73" s="11" t="s">
        <v>3791</v>
      </c>
      <c r="E73" s="11" t="s">
        <v>3909</v>
      </c>
      <c r="F73" s="17" t="s">
        <v>3910</v>
      </c>
    </row>
    <row r="74" customFormat="false" ht="36" hidden="false" customHeight="true" outlineLevel="0" collapsed="false">
      <c r="A74" s="11" t="s">
        <v>3911</v>
      </c>
      <c r="B74" s="11" t="s">
        <v>30</v>
      </c>
      <c r="C74" s="8" t="s">
        <v>201</v>
      </c>
      <c r="D74" s="11" t="s">
        <v>3795</v>
      </c>
      <c r="E74" s="11" t="s">
        <v>3912</v>
      </c>
      <c r="F74" s="17" t="s">
        <v>3913</v>
      </c>
    </row>
    <row r="75" customFormat="false" ht="24" hidden="false" customHeight="true" outlineLevel="0" collapsed="false">
      <c r="A75" s="11" t="s">
        <v>3911</v>
      </c>
      <c r="B75" s="11" t="s">
        <v>32</v>
      </c>
      <c r="C75" s="8" t="s">
        <v>280</v>
      </c>
      <c r="D75" s="11" t="s">
        <v>3787</v>
      </c>
      <c r="E75" s="11" t="s">
        <v>3914</v>
      </c>
      <c r="F75" s="17" t="s">
        <v>3915</v>
      </c>
    </row>
    <row r="76" customFormat="false" ht="48.75" hidden="false" customHeight="true" outlineLevel="0" collapsed="false">
      <c r="A76" s="11" t="s">
        <v>3911</v>
      </c>
      <c r="B76" s="11" t="s">
        <v>34</v>
      </c>
      <c r="C76" s="8" t="s">
        <v>361</v>
      </c>
      <c r="D76" s="11" t="s">
        <v>3795</v>
      </c>
      <c r="E76" s="11" t="s">
        <v>3916</v>
      </c>
      <c r="F76" s="17" t="s">
        <v>3917</v>
      </c>
    </row>
    <row r="77" customFormat="false" ht="36" hidden="false" customHeight="true" outlineLevel="0" collapsed="false">
      <c r="A77" s="11" t="s">
        <v>3911</v>
      </c>
      <c r="B77" s="11" t="s">
        <v>34</v>
      </c>
      <c r="C77" s="8" t="s">
        <v>364</v>
      </c>
      <c r="D77" s="11" t="s">
        <v>3795</v>
      </c>
      <c r="E77" s="11" t="s">
        <v>3918</v>
      </c>
      <c r="F77" s="17" t="s">
        <v>3919</v>
      </c>
    </row>
    <row r="78" customFormat="false" ht="36" hidden="false" customHeight="true" outlineLevel="0" collapsed="false">
      <c r="A78" s="11" t="s">
        <v>3911</v>
      </c>
      <c r="B78" s="11" t="s">
        <v>34</v>
      </c>
      <c r="C78" s="8" t="s">
        <v>395</v>
      </c>
      <c r="D78" s="11" t="s">
        <v>3791</v>
      </c>
      <c r="E78" s="11" t="s">
        <v>3920</v>
      </c>
      <c r="F78" s="17" t="s">
        <v>3921</v>
      </c>
    </row>
    <row r="79" customFormat="false" ht="36" hidden="false" customHeight="true" outlineLevel="0" collapsed="false">
      <c r="A79" s="11" t="s">
        <v>3911</v>
      </c>
      <c r="B79" s="11" t="s">
        <v>34</v>
      </c>
      <c r="C79" s="8" t="s">
        <v>376</v>
      </c>
      <c r="D79" s="11" t="s">
        <v>3787</v>
      </c>
      <c r="E79" s="11" t="s">
        <v>3922</v>
      </c>
      <c r="F79" s="17" t="s">
        <v>3923</v>
      </c>
    </row>
    <row r="80" customFormat="false" ht="24" hidden="false" customHeight="true" outlineLevel="0" collapsed="false">
      <c r="A80" s="11" t="s">
        <v>3911</v>
      </c>
      <c r="B80" s="11" t="s">
        <v>36</v>
      </c>
      <c r="C80" s="8" t="s">
        <v>468</v>
      </c>
      <c r="D80" s="11" t="s">
        <v>3791</v>
      </c>
      <c r="E80" s="11" t="s">
        <v>3924</v>
      </c>
      <c r="F80" s="17" t="s">
        <v>3925</v>
      </c>
    </row>
    <row r="81" customFormat="false" ht="48.75" hidden="false" customHeight="true" outlineLevel="0" collapsed="false">
      <c r="A81" s="11" t="s">
        <v>3911</v>
      </c>
      <c r="B81" s="11" t="s">
        <v>36</v>
      </c>
      <c r="C81" s="8" t="s">
        <v>434</v>
      </c>
      <c r="D81" s="11" t="s">
        <v>3787</v>
      </c>
      <c r="E81" s="11" t="s">
        <v>3926</v>
      </c>
      <c r="F81" s="17" t="s">
        <v>3927</v>
      </c>
    </row>
    <row r="82" customFormat="false" ht="60.75" hidden="false" customHeight="true" outlineLevel="0" collapsed="false">
      <c r="A82" s="11" t="s">
        <v>3911</v>
      </c>
      <c r="B82" s="11" t="s">
        <v>42</v>
      </c>
      <c r="C82" s="8" t="s">
        <v>712</v>
      </c>
      <c r="D82" s="11" t="s">
        <v>3787</v>
      </c>
      <c r="E82" s="11" t="s">
        <v>3928</v>
      </c>
      <c r="F82" s="17" t="s">
        <v>3927</v>
      </c>
    </row>
    <row r="83" customFormat="false" ht="72.75" hidden="false" customHeight="true" outlineLevel="0" collapsed="false">
      <c r="A83" s="11" t="s">
        <v>3929</v>
      </c>
      <c r="B83" s="11" t="s">
        <v>30</v>
      </c>
      <c r="C83" s="8" t="s">
        <v>254</v>
      </c>
      <c r="D83" s="11" t="s">
        <v>3791</v>
      </c>
      <c r="E83" s="11" t="s">
        <v>3930</v>
      </c>
      <c r="F83" s="17" t="s">
        <v>845</v>
      </c>
    </row>
    <row r="84" customFormat="false" ht="36" hidden="false" customHeight="true" outlineLevel="0" collapsed="false">
      <c r="A84" s="11" t="s">
        <v>3929</v>
      </c>
      <c r="B84" s="11" t="s">
        <v>30</v>
      </c>
      <c r="C84" s="8" t="s">
        <v>207</v>
      </c>
      <c r="D84" s="11" t="s">
        <v>3791</v>
      </c>
      <c r="E84" s="11" t="s">
        <v>3931</v>
      </c>
      <c r="F84" s="17" t="s">
        <v>1187</v>
      </c>
    </row>
    <row r="85" customFormat="false" ht="36" hidden="false" customHeight="true" outlineLevel="0" collapsed="false">
      <c r="A85" s="11" t="s">
        <v>3929</v>
      </c>
      <c r="B85" s="11" t="s">
        <v>32</v>
      </c>
      <c r="C85" s="8" t="s">
        <v>280</v>
      </c>
      <c r="D85" s="11" t="s">
        <v>3795</v>
      </c>
      <c r="E85" s="11" t="s">
        <v>3932</v>
      </c>
      <c r="F85" s="17" t="s">
        <v>3933</v>
      </c>
    </row>
    <row r="86" customFormat="false" ht="36" hidden="false" customHeight="true" outlineLevel="0" collapsed="false">
      <c r="A86" s="11" t="s">
        <v>3929</v>
      </c>
      <c r="B86" s="11" t="s">
        <v>34</v>
      </c>
      <c r="C86" s="8" t="s">
        <v>395</v>
      </c>
      <c r="D86" s="11" t="s">
        <v>3791</v>
      </c>
      <c r="E86" s="11" t="s">
        <v>3934</v>
      </c>
      <c r="F86" s="17" t="s">
        <v>3935</v>
      </c>
    </row>
    <row r="87" customFormat="false" ht="36" hidden="false" customHeight="true" outlineLevel="0" collapsed="false">
      <c r="A87" s="11" t="s">
        <v>3929</v>
      </c>
      <c r="B87" s="11" t="s">
        <v>34</v>
      </c>
      <c r="C87" s="8" t="s">
        <v>356</v>
      </c>
      <c r="D87" s="11" t="s">
        <v>3787</v>
      </c>
      <c r="E87" s="11" t="s">
        <v>3936</v>
      </c>
      <c r="F87" s="17" t="s">
        <v>3937</v>
      </c>
    </row>
    <row r="88" customFormat="false" ht="36" hidden="false" customHeight="true" outlineLevel="0" collapsed="false">
      <c r="A88" s="11" t="s">
        <v>3929</v>
      </c>
      <c r="B88" s="11" t="s">
        <v>34</v>
      </c>
      <c r="C88" s="8" t="s">
        <v>379</v>
      </c>
      <c r="D88" s="11" t="s">
        <v>3787</v>
      </c>
      <c r="E88" s="11" t="s">
        <v>3938</v>
      </c>
      <c r="F88" s="17" t="s">
        <v>3939</v>
      </c>
    </row>
    <row r="89" customFormat="false" ht="36" hidden="false" customHeight="true" outlineLevel="0" collapsed="false">
      <c r="A89" s="11" t="s">
        <v>3929</v>
      </c>
      <c r="B89" s="11" t="s">
        <v>42</v>
      </c>
      <c r="C89" s="8" t="s">
        <v>700</v>
      </c>
      <c r="D89" s="11" t="s">
        <v>3791</v>
      </c>
      <c r="E89" s="11" t="s">
        <v>3940</v>
      </c>
      <c r="F89" s="17" t="s">
        <v>1187</v>
      </c>
    </row>
    <row r="90" customFormat="false" ht="48.75" hidden="false" customHeight="true" outlineLevel="0" collapsed="false">
      <c r="A90" s="11" t="s">
        <v>3929</v>
      </c>
      <c r="B90" s="11" t="s">
        <v>42</v>
      </c>
      <c r="C90" s="8" t="s">
        <v>702</v>
      </c>
      <c r="D90" s="11" t="s">
        <v>3791</v>
      </c>
      <c r="E90" s="11" t="s">
        <v>3941</v>
      </c>
      <c r="F90" s="17" t="s">
        <v>3942</v>
      </c>
    </row>
    <row r="91" customFormat="false" ht="36" hidden="false" customHeight="true" outlineLevel="0" collapsed="false">
      <c r="A91" s="11" t="s">
        <v>797</v>
      </c>
      <c r="B91" s="11" t="s">
        <v>34</v>
      </c>
      <c r="C91" s="8" t="s">
        <v>361</v>
      </c>
      <c r="D91" s="11" t="s">
        <v>3787</v>
      </c>
      <c r="E91" s="11" t="s">
        <v>3943</v>
      </c>
      <c r="F91" s="17" t="s">
        <v>3944</v>
      </c>
    </row>
    <row r="92" customFormat="false" ht="48.75" hidden="false" customHeight="true" outlineLevel="0" collapsed="false">
      <c r="A92" s="11" t="s">
        <v>797</v>
      </c>
      <c r="B92" s="11" t="s">
        <v>36</v>
      </c>
      <c r="C92" s="8" t="s">
        <v>441</v>
      </c>
      <c r="D92" s="11" t="s">
        <v>3787</v>
      </c>
      <c r="E92" s="11" t="s">
        <v>3945</v>
      </c>
      <c r="F92" s="17" t="s">
        <v>3946</v>
      </c>
    </row>
    <row r="93" customFormat="false" ht="36" hidden="false" customHeight="true" outlineLevel="0" collapsed="false">
      <c r="A93" s="11" t="s">
        <v>794</v>
      </c>
      <c r="B93" s="11" t="s">
        <v>30</v>
      </c>
      <c r="C93" s="8" t="s">
        <v>207</v>
      </c>
      <c r="D93" s="11" t="s">
        <v>3787</v>
      </c>
      <c r="E93" s="11" t="s">
        <v>3947</v>
      </c>
      <c r="F93" s="17" t="s">
        <v>1187</v>
      </c>
    </row>
    <row r="94" customFormat="false" ht="36" hidden="false" customHeight="true" outlineLevel="0" collapsed="false">
      <c r="A94" s="11" t="s">
        <v>794</v>
      </c>
      <c r="B94" s="11" t="s">
        <v>32</v>
      </c>
      <c r="C94" s="8" t="s">
        <v>293</v>
      </c>
      <c r="D94" s="11" t="s">
        <v>3791</v>
      </c>
      <c r="E94" s="11" t="s">
        <v>3948</v>
      </c>
      <c r="F94" s="17" t="s">
        <v>3949</v>
      </c>
    </row>
    <row r="95" customFormat="false" ht="36" hidden="false" customHeight="true" outlineLevel="0" collapsed="false">
      <c r="A95" s="11" t="s">
        <v>794</v>
      </c>
      <c r="B95" s="11" t="s">
        <v>32</v>
      </c>
      <c r="C95" s="8" t="s">
        <v>285</v>
      </c>
      <c r="D95" s="11" t="s">
        <v>3791</v>
      </c>
      <c r="E95" s="11" t="s">
        <v>3950</v>
      </c>
      <c r="F95" s="17" t="s">
        <v>3811</v>
      </c>
    </row>
    <row r="96" customFormat="false" ht="72.75" hidden="false" customHeight="true" outlineLevel="0" collapsed="false">
      <c r="A96" s="11" t="s">
        <v>794</v>
      </c>
      <c r="B96" s="11" t="s">
        <v>32</v>
      </c>
      <c r="C96" s="8" t="s">
        <v>86</v>
      </c>
      <c r="D96" s="11" t="s">
        <v>3787</v>
      </c>
      <c r="E96" s="11" t="s">
        <v>3951</v>
      </c>
      <c r="F96" s="17" t="s">
        <v>3952</v>
      </c>
    </row>
    <row r="97" customFormat="false" ht="36" hidden="false" customHeight="true" outlineLevel="0" collapsed="false">
      <c r="A97" s="11" t="s">
        <v>794</v>
      </c>
      <c r="B97" s="11" t="s">
        <v>32</v>
      </c>
      <c r="C97" s="8" t="s">
        <v>282</v>
      </c>
      <c r="D97" s="11" t="s">
        <v>3787</v>
      </c>
      <c r="E97" s="11" t="s">
        <v>3953</v>
      </c>
      <c r="F97" s="17" t="s">
        <v>1187</v>
      </c>
    </row>
    <row r="98" customFormat="false" ht="36" hidden="false" customHeight="true" outlineLevel="0" collapsed="false">
      <c r="A98" s="11" t="s">
        <v>794</v>
      </c>
      <c r="B98" s="11" t="s">
        <v>34</v>
      </c>
      <c r="C98" s="8" t="s">
        <v>367</v>
      </c>
      <c r="D98" s="11" t="s">
        <v>3787</v>
      </c>
      <c r="E98" s="11" t="s">
        <v>3954</v>
      </c>
      <c r="F98" s="17" t="s">
        <v>1187</v>
      </c>
    </row>
    <row r="99" customFormat="false" ht="36" hidden="false" customHeight="true" outlineLevel="0" collapsed="false">
      <c r="A99" s="11" t="s">
        <v>794</v>
      </c>
      <c r="B99" s="11" t="s">
        <v>36</v>
      </c>
      <c r="C99" s="8" t="s">
        <v>433</v>
      </c>
      <c r="D99" s="11" t="s">
        <v>3791</v>
      </c>
      <c r="E99" s="11" t="s">
        <v>3955</v>
      </c>
      <c r="F99" s="17" t="s">
        <v>3811</v>
      </c>
    </row>
    <row r="100" customFormat="false" ht="60.75" hidden="false" customHeight="true" outlineLevel="0" collapsed="false">
      <c r="A100" s="11" t="s">
        <v>794</v>
      </c>
      <c r="B100" s="11" t="s">
        <v>36</v>
      </c>
      <c r="C100" s="8" t="s">
        <v>423</v>
      </c>
      <c r="D100" s="11" t="s">
        <v>3787</v>
      </c>
      <c r="E100" s="11" t="s">
        <v>3956</v>
      </c>
      <c r="F100" s="17" t="s">
        <v>3952</v>
      </c>
    </row>
    <row r="101" customFormat="false" ht="36" hidden="false" customHeight="true" outlineLevel="0" collapsed="false">
      <c r="A101" s="11" t="s">
        <v>794</v>
      </c>
      <c r="B101" s="11" t="s">
        <v>36</v>
      </c>
      <c r="C101" s="8" t="s">
        <v>462</v>
      </c>
      <c r="D101" s="11" t="s">
        <v>3791</v>
      </c>
      <c r="E101" s="11" t="s">
        <v>3957</v>
      </c>
      <c r="F101" s="17" t="s">
        <v>3958</v>
      </c>
    </row>
    <row r="102" customFormat="false" ht="15" hidden="false" customHeight="true" outlineLevel="0" collapsed="false">
      <c r="A102" s="11" t="s">
        <v>794</v>
      </c>
      <c r="B102" s="11" t="s">
        <v>38</v>
      </c>
      <c r="C102" s="8" t="s">
        <v>573</v>
      </c>
      <c r="D102" s="11" t="s">
        <v>3959</v>
      </c>
      <c r="E102" s="11" t="s">
        <v>3960</v>
      </c>
      <c r="F102" s="17" t="s">
        <v>1089</v>
      </c>
    </row>
    <row r="103" customFormat="false" ht="36" hidden="false" customHeight="true" outlineLevel="0" collapsed="false">
      <c r="A103" s="11" t="s">
        <v>794</v>
      </c>
      <c r="B103" s="11" t="s">
        <v>40</v>
      </c>
      <c r="C103" s="8" t="s">
        <v>625</v>
      </c>
      <c r="D103" s="11" t="s">
        <v>3961</v>
      </c>
      <c r="E103" s="11" t="s">
        <v>3962</v>
      </c>
      <c r="F103" s="17" t="s">
        <v>1129</v>
      </c>
    </row>
    <row r="104" customFormat="false" ht="48.75" hidden="false" customHeight="true" outlineLevel="0" collapsed="false">
      <c r="A104" s="11" t="s">
        <v>794</v>
      </c>
      <c r="B104" s="11" t="s">
        <v>42</v>
      </c>
      <c r="C104" s="8" t="s">
        <v>700</v>
      </c>
      <c r="D104" s="11" t="s">
        <v>3791</v>
      </c>
      <c r="E104" s="11" t="s">
        <v>3963</v>
      </c>
      <c r="F104" s="17" t="s">
        <v>1187</v>
      </c>
    </row>
    <row r="105" customFormat="false" ht="84.75" hidden="false" customHeight="true" outlineLevel="0" collapsed="false">
      <c r="A105" s="11" t="s">
        <v>794</v>
      </c>
      <c r="B105" s="11" t="s">
        <v>42</v>
      </c>
      <c r="C105" s="8" t="s">
        <v>689</v>
      </c>
      <c r="D105" s="11" t="s">
        <v>3791</v>
      </c>
      <c r="E105" s="11" t="s">
        <v>3964</v>
      </c>
      <c r="F105" s="17" t="s">
        <v>3952</v>
      </c>
    </row>
    <row r="106" customFormat="false" ht="24" hidden="false" customHeight="true" outlineLevel="0" collapsed="false">
      <c r="A106" s="11" t="s">
        <v>786</v>
      </c>
      <c r="B106" s="11" t="s">
        <v>38</v>
      </c>
      <c r="C106" s="8" t="s">
        <v>579</v>
      </c>
      <c r="D106" s="11" t="s">
        <v>3791</v>
      </c>
      <c r="E106" s="11" t="s">
        <v>3965</v>
      </c>
      <c r="F106" s="17" t="s">
        <v>3966</v>
      </c>
    </row>
    <row r="107" customFormat="false" ht="24" hidden="false" customHeight="true" outlineLevel="0" collapsed="false">
      <c r="A107" s="11" t="s">
        <v>3967</v>
      </c>
      <c r="B107" s="11" t="s">
        <v>30</v>
      </c>
      <c r="C107" s="8" t="s">
        <v>201</v>
      </c>
      <c r="D107" s="11" t="s">
        <v>3787</v>
      </c>
      <c r="E107" s="11" t="s">
        <v>3968</v>
      </c>
      <c r="F107" s="17" t="s">
        <v>3969</v>
      </c>
    </row>
    <row r="108" customFormat="false" ht="24" hidden="false" customHeight="true" outlineLevel="0" collapsed="false">
      <c r="A108" s="11" t="s">
        <v>3967</v>
      </c>
      <c r="B108" s="11" t="s">
        <v>30</v>
      </c>
      <c r="C108" s="8" t="s">
        <v>201</v>
      </c>
      <c r="D108" s="11" t="s">
        <v>3791</v>
      </c>
      <c r="E108" s="11" t="s">
        <v>3970</v>
      </c>
      <c r="F108" s="17" t="s">
        <v>3971</v>
      </c>
    </row>
    <row r="109" customFormat="false" ht="24" hidden="false" customHeight="true" outlineLevel="0" collapsed="false">
      <c r="A109" s="11" t="s">
        <v>3967</v>
      </c>
      <c r="B109" s="11" t="s">
        <v>30</v>
      </c>
      <c r="C109" s="8" t="s">
        <v>248</v>
      </c>
      <c r="D109" s="11" t="s">
        <v>3791</v>
      </c>
      <c r="E109" s="11" t="s">
        <v>3972</v>
      </c>
      <c r="F109" s="17" t="s">
        <v>3973</v>
      </c>
    </row>
    <row r="110" customFormat="false" ht="36" hidden="false" customHeight="true" outlineLevel="0" collapsed="false">
      <c r="A110" s="11" t="s">
        <v>3967</v>
      </c>
      <c r="B110" s="11" t="s">
        <v>34</v>
      </c>
      <c r="C110" s="8" t="s">
        <v>361</v>
      </c>
      <c r="D110" s="11" t="s">
        <v>3787</v>
      </c>
      <c r="E110" s="11" t="s">
        <v>3974</v>
      </c>
      <c r="F110" s="17" t="s">
        <v>3975</v>
      </c>
    </row>
    <row r="111" customFormat="false" ht="48.75" hidden="false" customHeight="true" outlineLevel="0" collapsed="false">
      <c r="A111" s="11" t="s">
        <v>3967</v>
      </c>
      <c r="B111" s="11" t="s">
        <v>34</v>
      </c>
      <c r="C111" s="8" t="s">
        <v>361</v>
      </c>
      <c r="D111" s="11" t="s">
        <v>3791</v>
      </c>
      <c r="E111" s="11" t="s">
        <v>3976</v>
      </c>
      <c r="F111" s="17" t="s">
        <v>3977</v>
      </c>
    </row>
    <row r="112" customFormat="false" ht="36" hidden="false" customHeight="true" outlineLevel="0" collapsed="false">
      <c r="A112" s="11" t="s">
        <v>3967</v>
      </c>
      <c r="B112" s="11" t="s">
        <v>34</v>
      </c>
      <c r="C112" s="8" t="s">
        <v>364</v>
      </c>
      <c r="D112" s="11" t="s">
        <v>3787</v>
      </c>
      <c r="E112" s="11" t="s">
        <v>3978</v>
      </c>
      <c r="F112" s="17" t="s">
        <v>3969</v>
      </c>
    </row>
    <row r="113" customFormat="false" ht="24" hidden="false" customHeight="true" outlineLevel="0" collapsed="false">
      <c r="A113" s="11" t="s">
        <v>3967</v>
      </c>
      <c r="B113" s="11" t="s">
        <v>36</v>
      </c>
      <c r="C113" s="8" t="s">
        <v>427</v>
      </c>
      <c r="D113" s="11" t="s">
        <v>3787</v>
      </c>
      <c r="E113" s="11" t="s">
        <v>3979</v>
      </c>
      <c r="F113" s="17" t="s">
        <v>3969</v>
      </c>
    </row>
    <row r="114" customFormat="false" ht="48.75" hidden="false" customHeight="true" outlineLevel="0" collapsed="false">
      <c r="A114" s="11" t="s">
        <v>3967</v>
      </c>
      <c r="B114" s="11" t="s">
        <v>36</v>
      </c>
      <c r="C114" s="8" t="s">
        <v>435</v>
      </c>
      <c r="D114" s="11" t="s">
        <v>3787</v>
      </c>
      <c r="E114" s="11" t="s">
        <v>3980</v>
      </c>
      <c r="F114" s="17" t="s">
        <v>3981</v>
      </c>
    </row>
    <row r="115" customFormat="false" ht="36" hidden="false" customHeight="true" outlineLevel="0" collapsed="false">
      <c r="A115" s="11" t="s">
        <v>3967</v>
      </c>
      <c r="B115" s="11" t="s">
        <v>42</v>
      </c>
      <c r="C115" s="8" t="s">
        <v>694</v>
      </c>
      <c r="D115" s="11" t="s">
        <v>3787</v>
      </c>
      <c r="E115" s="11" t="s">
        <v>3982</v>
      </c>
      <c r="F115" s="17" t="s">
        <v>3983</v>
      </c>
    </row>
    <row r="116" customFormat="false" ht="24" hidden="false" customHeight="true" outlineLevel="0" collapsed="false">
      <c r="A116" s="11" t="s">
        <v>3967</v>
      </c>
      <c r="B116" s="11" t="s">
        <v>42</v>
      </c>
      <c r="C116" s="8" t="s">
        <v>694</v>
      </c>
      <c r="D116" s="11" t="s">
        <v>3791</v>
      </c>
      <c r="E116" s="11" t="s">
        <v>3984</v>
      </c>
      <c r="F116" s="17" t="s">
        <v>3985</v>
      </c>
    </row>
    <row r="117" customFormat="false" ht="24" hidden="false" customHeight="true" outlineLevel="0" collapsed="false">
      <c r="A117" s="11" t="s">
        <v>3986</v>
      </c>
      <c r="B117" s="11" t="s">
        <v>30</v>
      </c>
      <c r="C117" s="8" t="s">
        <v>251</v>
      </c>
      <c r="D117" s="11" t="s">
        <v>3787</v>
      </c>
      <c r="E117" s="11" t="s">
        <v>3987</v>
      </c>
      <c r="F117" s="17" t="s">
        <v>3988</v>
      </c>
    </row>
    <row r="118" customFormat="false" ht="24" hidden="false" customHeight="true" outlineLevel="0" collapsed="false">
      <c r="A118" s="11" t="s">
        <v>3986</v>
      </c>
      <c r="B118" s="11" t="s">
        <v>30</v>
      </c>
      <c r="C118" s="8" t="s">
        <v>194</v>
      </c>
      <c r="D118" s="11" t="s">
        <v>3791</v>
      </c>
      <c r="E118" s="11" t="s">
        <v>3989</v>
      </c>
      <c r="F118" s="17" t="s">
        <v>3990</v>
      </c>
    </row>
    <row r="119" customFormat="false" ht="36" hidden="false" customHeight="true" outlineLevel="0" collapsed="false">
      <c r="A119" s="11" t="s">
        <v>3986</v>
      </c>
      <c r="B119" s="11" t="s">
        <v>32</v>
      </c>
      <c r="C119" s="8" t="s">
        <v>303</v>
      </c>
      <c r="D119" s="11" t="s">
        <v>3795</v>
      </c>
      <c r="E119" s="11" t="s">
        <v>3991</v>
      </c>
      <c r="F119" s="17" t="s">
        <v>3992</v>
      </c>
    </row>
    <row r="120" customFormat="false" ht="36" hidden="false" customHeight="true" outlineLevel="0" collapsed="false">
      <c r="A120" s="11" t="s">
        <v>3986</v>
      </c>
      <c r="B120" s="11" t="s">
        <v>32</v>
      </c>
      <c r="C120" s="8" t="s">
        <v>265</v>
      </c>
      <c r="D120" s="11" t="s">
        <v>3787</v>
      </c>
      <c r="E120" s="11" t="s">
        <v>3993</v>
      </c>
      <c r="F120" s="17" t="s">
        <v>3994</v>
      </c>
    </row>
    <row r="121" customFormat="false" ht="36" hidden="false" customHeight="true" outlineLevel="0" collapsed="false">
      <c r="A121" s="11" t="s">
        <v>3986</v>
      </c>
      <c r="B121" s="11" t="s">
        <v>32</v>
      </c>
      <c r="C121" s="8" t="s">
        <v>287</v>
      </c>
      <c r="D121" s="11" t="s">
        <v>3787</v>
      </c>
      <c r="E121" s="11" t="s">
        <v>3995</v>
      </c>
      <c r="F121" s="17" t="s">
        <v>874</v>
      </c>
    </row>
    <row r="122" customFormat="false" ht="24" hidden="false" customHeight="true" outlineLevel="0" collapsed="false">
      <c r="A122" s="11" t="s">
        <v>3986</v>
      </c>
      <c r="B122" s="11" t="s">
        <v>34</v>
      </c>
      <c r="C122" s="8" t="s">
        <v>361</v>
      </c>
      <c r="D122" s="11" t="s">
        <v>3787</v>
      </c>
      <c r="E122" s="11" t="s">
        <v>3996</v>
      </c>
      <c r="F122" s="17" t="s">
        <v>3997</v>
      </c>
    </row>
    <row r="123" customFormat="false" ht="36" hidden="false" customHeight="true" outlineLevel="0" collapsed="false">
      <c r="A123" s="11" t="s">
        <v>3986</v>
      </c>
      <c r="B123" s="11" t="s">
        <v>34</v>
      </c>
      <c r="C123" s="8" t="s">
        <v>401</v>
      </c>
      <c r="D123" s="11" t="s">
        <v>3787</v>
      </c>
      <c r="E123" s="11" t="s">
        <v>3998</v>
      </c>
      <c r="F123" s="17" t="s">
        <v>3997</v>
      </c>
    </row>
    <row r="124" customFormat="false" ht="36" hidden="false" customHeight="true" outlineLevel="0" collapsed="false">
      <c r="A124" s="11" t="s">
        <v>3986</v>
      </c>
      <c r="B124" s="11" t="s">
        <v>34</v>
      </c>
      <c r="C124" s="8" t="s">
        <v>401</v>
      </c>
      <c r="D124" s="11" t="s">
        <v>3791</v>
      </c>
      <c r="E124" s="11" t="s">
        <v>3999</v>
      </c>
      <c r="F124" s="17" t="s">
        <v>4000</v>
      </c>
    </row>
    <row r="125" customFormat="false" ht="36" hidden="false" customHeight="true" outlineLevel="0" collapsed="false">
      <c r="A125" s="11" t="s">
        <v>3986</v>
      </c>
      <c r="B125" s="11" t="s">
        <v>42</v>
      </c>
      <c r="C125" s="8" t="s">
        <v>662</v>
      </c>
      <c r="D125" s="11" t="s">
        <v>3787</v>
      </c>
      <c r="E125" s="11" t="s">
        <v>4001</v>
      </c>
      <c r="F125" s="17" t="s">
        <v>4002</v>
      </c>
    </row>
    <row r="126" customFormat="false" ht="36" hidden="false" customHeight="true" outlineLevel="0" collapsed="false">
      <c r="A126" s="11" t="s">
        <v>3986</v>
      </c>
      <c r="B126" s="11" t="s">
        <v>42</v>
      </c>
      <c r="C126" s="8" t="s">
        <v>752</v>
      </c>
      <c r="D126" s="11" t="s">
        <v>3791</v>
      </c>
      <c r="E126" s="11" t="s">
        <v>4003</v>
      </c>
      <c r="F126" s="17" t="s">
        <v>4004</v>
      </c>
    </row>
    <row r="127" customFormat="false" ht="36" hidden="false" customHeight="true" outlineLevel="0" collapsed="false">
      <c r="A127" s="11" t="s">
        <v>3986</v>
      </c>
      <c r="B127" s="11" t="s">
        <v>42</v>
      </c>
      <c r="C127" s="8" t="s">
        <v>683</v>
      </c>
      <c r="D127" s="11" t="s">
        <v>3791</v>
      </c>
      <c r="E127" s="11" t="s">
        <v>4005</v>
      </c>
      <c r="F127" s="17" t="s">
        <v>4006</v>
      </c>
    </row>
    <row r="128" customFormat="false" ht="48.75" hidden="false" customHeight="true" outlineLevel="0" collapsed="false">
      <c r="A128" s="11" t="s">
        <v>3986</v>
      </c>
      <c r="B128" s="11" t="s">
        <v>42</v>
      </c>
      <c r="C128" s="8" t="s">
        <v>767</v>
      </c>
      <c r="D128" s="11" t="s">
        <v>3795</v>
      </c>
      <c r="E128" s="11" t="s">
        <v>4007</v>
      </c>
      <c r="F128" s="17" t="s">
        <v>3988</v>
      </c>
    </row>
    <row r="129" customFormat="false" ht="36" hidden="false" customHeight="true" outlineLevel="0" collapsed="false">
      <c r="A129" s="11" t="s">
        <v>3986</v>
      </c>
      <c r="B129" s="11" t="s">
        <v>42</v>
      </c>
      <c r="C129" s="8" t="s">
        <v>679</v>
      </c>
      <c r="D129" s="11" t="s">
        <v>3791</v>
      </c>
      <c r="E129" s="11" t="s">
        <v>4008</v>
      </c>
      <c r="F129" s="17" t="s">
        <v>3990</v>
      </c>
    </row>
    <row r="130" customFormat="false" ht="24" hidden="false" customHeight="true" outlineLevel="0" collapsed="false">
      <c r="A130" s="11" t="s">
        <v>4009</v>
      </c>
      <c r="B130" s="11" t="s">
        <v>30</v>
      </c>
      <c r="C130" s="8" t="s">
        <v>226</v>
      </c>
      <c r="D130" s="11" t="s">
        <v>3791</v>
      </c>
      <c r="E130" s="11" t="s">
        <v>4010</v>
      </c>
      <c r="F130" s="17" t="s">
        <v>3842</v>
      </c>
    </row>
    <row r="131" customFormat="false" ht="36" hidden="false" customHeight="true" outlineLevel="0" collapsed="false">
      <c r="A131" s="11" t="s">
        <v>4009</v>
      </c>
      <c r="B131" s="11" t="s">
        <v>30</v>
      </c>
      <c r="C131" s="8" t="s">
        <v>224</v>
      </c>
      <c r="D131" s="11" t="s">
        <v>3791</v>
      </c>
      <c r="E131" s="11" t="s">
        <v>4011</v>
      </c>
      <c r="F131" s="17" t="s">
        <v>4012</v>
      </c>
    </row>
    <row r="132" customFormat="false" ht="24" hidden="false" customHeight="true" outlineLevel="0" collapsed="false">
      <c r="A132" s="11" t="s">
        <v>4009</v>
      </c>
      <c r="B132" s="11" t="s">
        <v>30</v>
      </c>
      <c r="C132" s="8" t="s">
        <v>224</v>
      </c>
      <c r="D132" s="11" t="s">
        <v>3787</v>
      </c>
      <c r="E132" s="11" t="s">
        <v>4013</v>
      </c>
      <c r="F132" s="17" t="s">
        <v>4014</v>
      </c>
    </row>
    <row r="133" customFormat="false" ht="36" hidden="false" customHeight="true" outlineLevel="0" collapsed="false">
      <c r="A133" s="11" t="s">
        <v>4009</v>
      </c>
      <c r="B133" s="11" t="s">
        <v>30</v>
      </c>
      <c r="C133" s="8" t="s">
        <v>224</v>
      </c>
      <c r="D133" s="11" t="s">
        <v>3791</v>
      </c>
      <c r="E133" s="11" t="s">
        <v>4015</v>
      </c>
      <c r="F133" s="17" t="s">
        <v>4016</v>
      </c>
    </row>
    <row r="134" customFormat="false" ht="48.75" hidden="false" customHeight="true" outlineLevel="0" collapsed="false">
      <c r="A134" s="11" t="s">
        <v>4009</v>
      </c>
      <c r="B134" s="11" t="s">
        <v>30</v>
      </c>
      <c r="C134" s="8" t="s">
        <v>224</v>
      </c>
      <c r="D134" s="11" t="s">
        <v>3791</v>
      </c>
      <c r="E134" s="11" t="s">
        <v>4017</v>
      </c>
      <c r="F134" s="17" t="s">
        <v>4018</v>
      </c>
    </row>
    <row r="135" customFormat="false" ht="36" hidden="false" customHeight="true" outlineLevel="0" collapsed="false">
      <c r="A135" s="11" t="s">
        <v>4009</v>
      </c>
      <c r="B135" s="11" t="s">
        <v>30</v>
      </c>
      <c r="C135" s="8" t="s">
        <v>240</v>
      </c>
      <c r="D135" s="11" t="s">
        <v>3791</v>
      </c>
      <c r="E135" s="11" t="s">
        <v>4019</v>
      </c>
      <c r="F135" s="17" t="s">
        <v>4020</v>
      </c>
    </row>
    <row r="136" customFormat="false" ht="48.75" hidden="false" customHeight="true" outlineLevel="0" collapsed="false">
      <c r="A136" s="11" t="s">
        <v>4009</v>
      </c>
      <c r="B136" s="11" t="s">
        <v>30</v>
      </c>
      <c r="C136" s="8" t="s">
        <v>186</v>
      </c>
      <c r="D136" s="11" t="s">
        <v>3787</v>
      </c>
      <c r="E136" s="11" t="s">
        <v>4021</v>
      </c>
      <c r="F136" s="17" t="s">
        <v>1162</v>
      </c>
    </row>
    <row r="137" customFormat="false" ht="48.75" hidden="false" customHeight="true" outlineLevel="0" collapsed="false">
      <c r="A137" s="11" t="s">
        <v>4009</v>
      </c>
      <c r="B137" s="11" t="s">
        <v>30</v>
      </c>
      <c r="C137" s="8" t="s">
        <v>234</v>
      </c>
      <c r="D137" s="11" t="s">
        <v>3787</v>
      </c>
      <c r="E137" s="11" t="s">
        <v>4022</v>
      </c>
      <c r="F137" s="17" t="s">
        <v>921</v>
      </c>
    </row>
    <row r="138" customFormat="false" ht="36" hidden="false" customHeight="true" outlineLevel="0" collapsed="false">
      <c r="A138" s="11" t="s">
        <v>4009</v>
      </c>
      <c r="B138" s="11" t="s">
        <v>30</v>
      </c>
      <c r="C138" s="8" t="s">
        <v>195</v>
      </c>
      <c r="D138" s="11" t="s">
        <v>3787</v>
      </c>
      <c r="E138" s="11" t="s">
        <v>4023</v>
      </c>
      <c r="F138" s="17" t="s">
        <v>4024</v>
      </c>
    </row>
    <row r="139" customFormat="false" ht="24" hidden="false" customHeight="true" outlineLevel="0" collapsed="false">
      <c r="A139" s="11" t="s">
        <v>4009</v>
      </c>
      <c r="B139" s="11" t="s">
        <v>32</v>
      </c>
      <c r="C139" s="8" t="s">
        <v>306</v>
      </c>
      <c r="D139" s="11" t="s">
        <v>3787</v>
      </c>
      <c r="E139" s="11" t="s">
        <v>4025</v>
      </c>
      <c r="F139" s="17" t="s">
        <v>4014</v>
      </c>
    </row>
    <row r="140" customFormat="false" ht="36" hidden="false" customHeight="true" outlineLevel="0" collapsed="false">
      <c r="A140" s="11" t="s">
        <v>4009</v>
      </c>
      <c r="B140" s="11" t="s">
        <v>32</v>
      </c>
      <c r="C140" s="8" t="s">
        <v>306</v>
      </c>
      <c r="D140" s="11" t="s">
        <v>3791</v>
      </c>
      <c r="E140" s="11" t="s">
        <v>4015</v>
      </c>
      <c r="F140" s="17" t="s">
        <v>4016</v>
      </c>
    </row>
    <row r="141" customFormat="false" ht="36" hidden="false" customHeight="true" outlineLevel="0" collapsed="false">
      <c r="A141" s="11" t="s">
        <v>4009</v>
      </c>
      <c r="B141" s="11" t="s">
        <v>32</v>
      </c>
      <c r="C141" s="8" t="s">
        <v>306</v>
      </c>
      <c r="D141" s="11" t="s">
        <v>3791</v>
      </c>
      <c r="E141" s="11" t="s">
        <v>4026</v>
      </c>
      <c r="F141" s="17" t="s">
        <v>4018</v>
      </c>
    </row>
    <row r="142" customFormat="false" ht="48.75" hidden="false" customHeight="true" outlineLevel="0" collapsed="false">
      <c r="A142" s="11" t="s">
        <v>4009</v>
      </c>
      <c r="B142" s="11" t="s">
        <v>32</v>
      </c>
      <c r="C142" s="8" t="s">
        <v>81</v>
      </c>
      <c r="D142" s="11" t="s">
        <v>3787</v>
      </c>
      <c r="E142" s="11" t="s">
        <v>4027</v>
      </c>
      <c r="F142" s="17" t="s">
        <v>1162</v>
      </c>
    </row>
    <row r="143" customFormat="false" ht="24" hidden="false" customHeight="true" outlineLevel="0" collapsed="false">
      <c r="A143" s="11" t="s">
        <v>4009</v>
      </c>
      <c r="B143" s="11" t="s">
        <v>32</v>
      </c>
      <c r="C143" s="8" t="s">
        <v>313</v>
      </c>
      <c r="D143" s="11" t="s">
        <v>3791</v>
      </c>
      <c r="E143" s="11" t="s">
        <v>4028</v>
      </c>
      <c r="F143" s="17" t="s">
        <v>3842</v>
      </c>
    </row>
    <row r="144" customFormat="false" ht="48.75" hidden="false" customHeight="true" outlineLevel="0" collapsed="false">
      <c r="A144" s="11" t="s">
        <v>4009</v>
      </c>
      <c r="B144" s="11" t="s">
        <v>32</v>
      </c>
      <c r="C144" s="8" t="s">
        <v>270</v>
      </c>
      <c r="D144" s="11" t="s">
        <v>3787</v>
      </c>
      <c r="E144" s="11" t="s">
        <v>4029</v>
      </c>
      <c r="F144" s="17" t="s">
        <v>921</v>
      </c>
    </row>
    <row r="145" customFormat="false" ht="48.75" hidden="false" customHeight="true" outlineLevel="0" collapsed="false">
      <c r="A145" s="11" t="s">
        <v>4009</v>
      </c>
      <c r="B145" s="11" t="s">
        <v>34</v>
      </c>
      <c r="C145" s="8" t="s">
        <v>356</v>
      </c>
      <c r="D145" s="11" t="s">
        <v>3787</v>
      </c>
      <c r="E145" s="11" t="s">
        <v>4030</v>
      </c>
      <c r="F145" s="17" t="s">
        <v>921</v>
      </c>
    </row>
    <row r="146" customFormat="false" ht="36" hidden="false" customHeight="true" outlineLevel="0" collapsed="false">
      <c r="A146" s="11" t="s">
        <v>4009</v>
      </c>
      <c r="B146" s="11" t="s">
        <v>34</v>
      </c>
      <c r="C146" s="8" t="s">
        <v>392</v>
      </c>
      <c r="D146" s="11" t="s">
        <v>3791</v>
      </c>
      <c r="E146" s="11" t="s">
        <v>4031</v>
      </c>
      <c r="F146" s="17" t="s">
        <v>946</v>
      </c>
    </row>
    <row r="147" customFormat="false" ht="48.75" hidden="false" customHeight="true" outlineLevel="0" collapsed="false">
      <c r="A147" s="11" t="s">
        <v>4009</v>
      </c>
      <c r="B147" s="11" t="s">
        <v>34</v>
      </c>
      <c r="C147" s="8" t="s">
        <v>346</v>
      </c>
      <c r="D147" s="11" t="s">
        <v>3791</v>
      </c>
      <c r="E147" s="11" t="s">
        <v>4032</v>
      </c>
      <c r="F147" s="17" t="s">
        <v>1162</v>
      </c>
    </row>
    <row r="148" customFormat="false" ht="36" hidden="false" customHeight="true" outlineLevel="0" collapsed="false">
      <c r="A148" s="11" t="s">
        <v>4009</v>
      </c>
      <c r="B148" s="11" t="s">
        <v>36</v>
      </c>
      <c r="C148" s="8" t="s">
        <v>457</v>
      </c>
      <c r="D148" s="11" t="s">
        <v>3791</v>
      </c>
      <c r="E148" s="11" t="s">
        <v>4033</v>
      </c>
      <c r="F148" s="17" t="s">
        <v>4018</v>
      </c>
    </row>
    <row r="149" customFormat="false" ht="48.75" hidden="false" customHeight="true" outlineLevel="0" collapsed="false">
      <c r="A149" s="11" t="s">
        <v>4009</v>
      </c>
      <c r="B149" s="11" t="s">
        <v>36</v>
      </c>
      <c r="C149" s="8" t="s">
        <v>416</v>
      </c>
      <c r="D149" s="11" t="s">
        <v>3787</v>
      </c>
      <c r="E149" s="11" t="s">
        <v>4034</v>
      </c>
      <c r="F149" s="17" t="s">
        <v>1162</v>
      </c>
    </row>
    <row r="150" customFormat="false" ht="24" hidden="false" customHeight="true" outlineLevel="0" collapsed="false">
      <c r="A150" s="11" t="s">
        <v>4009</v>
      </c>
      <c r="B150" s="11" t="s">
        <v>36</v>
      </c>
      <c r="C150" s="8" t="s">
        <v>460</v>
      </c>
      <c r="D150" s="11" t="s">
        <v>3791</v>
      </c>
      <c r="E150" s="11" t="s">
        <v>4035</v>
      </c>
      <c r="F150" s="17" t="s">
        <v>3855</v>
      </c>
    </row>
    <row r="151" customFormat="false" ht="36" hidden="false" customHeight="true" outlineLevel="0" collapsed="false">
      <c r="A151" s="11" t="s">
        <v>4009</v>
      </c>
      <c r="B151" s="11" t="s">
        <v>38</v>
      </c>
      <c r="C151" s="8" t="s">
        <v>504</v>
      </c>
      <c r="D151" s="11" t="s">
        <v>3787</v>
      </c>
      <c r="E151" s="11" t="s">
        <v>4036</v>
      </c>
      <c r="F151" s="17" t="s">
        <v>4037</v>
      </c>
    </row>
    <row r="152" customFormat="false" ht="60.75" hidden="false" customHeight="true" outlineLevel="0" collapsed="false">
      <c r="A152" s="11" t="s">
        <v>4009</v>
      </c>
      <c r="B152" s="11" t="s">
        <v>38</v>
      </c>
      <c r="C152" s="8" t="s">
        <v>542</v>
      </c>
      <c r="D152" s="11" t="s">
        <v>3884</v>
      </c>
      <c r="E152" s="11" t="s">
        <v>4038</v>
      </c>
      <c r="F152" s="17" t="s">
        <v>4039</v>
      </c>
    </row>
    <row r="153" customFormat="false" ht="36" hidden="false" customHeight="true" outlineLevel="0" collapsed="false">
      <c r="A153" s="11" t="s">
        <v>4009</v>
      </c>
      <c r="B153" s="11" t="s">
        <v>40</v>
      </c>
      <c r="C153" s="8" t="s">
        <v>624</v>
      </c>
      <c r="D153" s="11" t="s">
        <v>3884</v>
      </c>
      <c r="E153" s="11" t="s">
        <v>4040</v>
      </c>
      <c r="F153" s="17" t="s">
        <v>4039</v>
      </c>
    </row>
    <row r="154" customFormat="false" ht="48.75" hidden="false" customHeight="true" outlineLevel="0" collapsed="false">
      <c r="A154" s="11" t="s">
        <v>4009</v>
      </c>
      <c r="B154" s="11" t="s">
        <v>42</v>
      </c>
      <c r="C154" s="8" t="s">
        <v>740</v>
      </c>
      <c r="D154" s="11" t="s">
        <v>3791</v>
      </c>
      <c r="E154" s="11" t="s">
        <v>4041</v>
      </c>
      <c r="F154" s="17" t="s">
        <v>4042</v>
      </c>
    </row>
    <row r="155" customFormat="false" ht="36" hidden="false" customHeight="true" outlineLevel="0" collapsed="false">
      <c r="A155" s="11" t="s">
        <v>4009</v>
      </c>
      <c r="B155" s="11" t="s">
        <v>42</v>
      </c>
      <c r="C155" s="8" t="s">
        <v>740</v>
      </c>
      <c r="D155" s="11" t="s">
        <v>3787</v>
      </c>
      <c r="E155" s="11" t="s">
        <v>4043</v>
      </c>
      <c r="F155" s="17" t="s">
        <v>4014</v>
      </c>
    </row>
    <row r="156" customFormat="false" ht="24" hidden="false" customHeight="true" outlineLevel="0" collapsed="false">
      <c r="A156" s="11" t="s">
        <v>4009</v>
      </c>
      <c r="B156" s="11" t="s">
        <v>42</v>
      </c>
      <c r="C156" s="8" t="s">
        <v>740</v>
      </c>
      <c r="D156" s="11" t="s">
        <v>3791</v>
      </c>
      <c r="E156" s="11" t="s">
        <v>4044</v>
      </c>
      <c r="F156" s="17" t="s">
        <v>4012</v>
      </c>
    </row>
    <row r="157" customFormat="false" ht="48.75" hidden="false" customHeight="true" outlineLevel="0" collapsed="false">
      <c r="A157" s="11" t="s">
        <v>4009</v>
      </c>
      <c r="B157" s="11" t="s">
        <v>42</v>
      </c>
      <c r="C157" s="8" t="s">
        <v>669</v>
      </c>
      <c r="D157" s="11" t="s">
        <v>3791</v>
      </c>
      <c r="E157" s="11" t="s">
        <v>4045</v>
      </c>
      <c r="F157" s="17" t="s">
        <v>1162</v>
      </c>
    </row>
    <row r="158" customFormat="false" ht="36" hidden="false" customHeight="true" outlineLevel="0" collapsed="false">
      <c r="A158" s="11" t="s">
        <v>4009</v>
      </c>
      <c r="B158" s="11" t="s">
        <v>42</v>
      </c>
      <c r="C158" s="8" t="s">
        <v>760</v>
      </c>
      <c r="D158" s="11" t="s">
        <v>3791</v>
      </c>
      <c r="E158" s="11" t="s">
        <v>4046</v>
      </c>
      <c r="F158" s="17" t="s">
        <v>4020</v>
      </c>
    </row>
    <row r="159" customFormat="false" ht="48.75" hidden="false" customHeight="true" outlineLevel="0" collapsed="false">
      <c r="A159" s="11" t="s">
        <v>4009</v>
      </c>
      <c r="B159" s="11" t="s">
        <v>42</v>
      </c>
      <c r="C159" s="8" t="s">
        <v>686</v>
      </c>
      <c r="D159" s="11" t="s">
        <v>3787</v>
      </c>
      <c r="E159" s="11" t="s">
        <v>4047</v>
      </c>
      <c r="F159" s="17" t="s">
        <v>921</v>
      </c>
    </row>
    <row r="160" customFormat="false" ht="24" hidden="false" customHeight="true" outlineLevel="0" collapsed="false">
      <c r="A160" s="11" t="s">
        <v>4009</v>
      </c>
      <c r="B160" s="11" t="s">
        <v>42</v>
      </c>
      <c r="C160" s="8" t="s">
        <v>178</v>
      </c>
      <c r="D160" s="11" t="s">
        <v>3787</v>
      </c>
      <c r="E160" s="11" t="s">
        <v>4048</v>
      </c>
      <c r="F160" s="17" t="s">
        <v>4049</v>
      </c>
    </row>
    <row r="161" customFormat="false" ht="36" hidden="false" customHeight="true" outlineLevel="0" collapsed="false">
      <c r="A161" s="11" t="s">
        <v>4050</v>
      </c>
      <c r="B161" s="11" t="s">
        <v>30</v>
      </c>
      <c r="C161" s="8" t="s">
        <v>178</v>
      </c>
      <c r="D161" s="11" t="s">
        <v>3787</v>
      </c>
      <c r="E161" s="11" t="s">
        <v>4051</v>
      </c>
      <c r="F161" s="17" t="s">
        <v>4052</v>
      </c>
    </row>
    <row r="162" customFormat="false" ht="24" hidden="false" customHeight="true" outlineLevel="0" collapsed="false">
      <c r="A162" s="11" t="s">
        <v>4050</v>
      </c>
      <c r="B162" s="11" t="s">
        <v>30</v>
      </c>
      <c r="C162" s="8" t="s">
        <v>213</v>
      </c>
      <c r="D162" s="11" t="s">
        <v>3787</v>
      </c>
      <c r="E162" s="11" t="s">
        <v>4053</v>
      </c>
      <c r="F162" s="17" t="s">
        <v>4054</v>
      </c>
    </row>
    <row r="163" customFormat="false" ht="24" hidden="false" customHeight="true" outlineLevel="0" collapsed="false">
      <c r="A163" s="11" t="s">
        <v>4050</v>
      </c>
      <c r="B163" s="11" t="s">
        <v>32</v>
      </c>
      <c r="C163" s="8" t="s">
        <v>306</v>
      </c>
      <c r="D163" s="11" t="s">
        <v>3787</v>
      </c>
      <c r="E163" s="11" t="s">
        <v>4055</v>
      </c>
      <c r="F163" s="17" t="s">
        <v>4056</v>
      </c>
    </row>
    <row r="164" customFormat="false" ht="48.75" hidden="false" customHeight="true" outlineLevel="0" collapsed="false">
      <c r="A164" s="11" t="s">
        <v>4050</v>
      </c>
      <c r="B164" s="11" t="s">
        <v>34</v>
      </c>
      <c r="C164" s="8" t="s">
        <v>379</v>
      </c>
      <c r="D164" s="11" t="s">
        <v>3787</v>
      </c>
      <c r="E164" s="11" t="s">
        <v>4057</v>
      </c>
      <c r="F164" s="17" t="s">
        <v>4058</v>
      </c>
    </row>
    <row r="165" customFormat="false" ht="60.75" hidden="false" customHeight="true" outlineLevel="0" collapsed="false">
      <c r="A165" s="11" t="s">
        <v>4050</v>
      </c>
      <c r="B165" s="11" t="s">
        <v>36</v>
      </c>
      <c r="C165" s="8" t="s">
        <v>482</v>
      </c>
      <c r="D165" s="11" t="s">
        <v>3791</v>
      </c>
      <c r="E165" s="11" t="s">
        <v>4059</v>
      </c>
      <c r="F165" s="17" t="s">
        <v>4060</v>
      </c>
    </row>
    <row r="166" customFormat="false" ht="36" hidden="false" customHeight="true" outlineLevel="0" collapsed="false">
      <c r="A166" s="11" t="s">
        <v>4050</v>
      </c>
      <c r="B166" s="11" t="s">
        <v>36</v>
      </c>
      <c r="C166" s="8" t="s">
        <v>459</v>
      </c>
      <c r="D166" s="11" t="s">
        <v>3787</v>
      </c>
      <c r="E166" s="11" t="s">
        <v>4061</v>
      </c>
      <c r="F166" s="17" t="s">
        <v>4062</v>
      </c>
    </row>
    <row r="167" customFormat="false" ht="24" hidden="false" customHeight="true" outlineLevel="0" collapsed="false">
      <c r="A167" s="11" t="s">
        <v>4050</v>
      </c>
      <c r="B167" s="11" t="s">
        <v>42</v>
      </c>
      <c r="C167" s="8" t="s">
        <v>752</v>
      </c>
      <c r="D167" s="11" t="s">
        <v>3795</v>
      </c>
      <c r="E167" s="11" t="s">
        <v>4063</v>
      </c>
      <c r="F167" s="17" t="s">
        <v>4064</v>
      </c>
    </row>
    <row r="168" customFormat="false" ht="36" hidden="false" customHeight="true" outlineLevel="0" collapsed="false">
      <c r="A168" s="11" t="s">
        <v>4050</v>
      </c>
      <c r="B168" s="11" t="s">
        <v>42</v>
      </c>
      <c r="C168" s="8" t="s">
        <v>763</v>
      </c>
      <c r="D168" s="11" t="s">
        <v>3791</v>
      </c>
      <c r="E168" s="11" t="s">
        <v>4065</v>
      </c>
      <c r="F168" s="17" t="s">
        <v>4066</v>
      </c>
    </row>
    <row r="169" customFormat="false" ht="36" hidden="false" customHeight="true" outlineLevel="0" collapsed="false">
      <c r="A169" s="11" t="s">
        <v>4067</v>
      </c>
      <c r="B169" s="11" t="s">
        <v>30</v>
      </c>
      <c r="C169" s="8" t="s">
        <v>251</v>
      </c>
      <c r="D169" s="11" t="s">
        <v>3791</v>
      </c>
      <c r="E169" s="11" t="s">
        <v>4068</v>
      </c>
      <c r="F169" s="17" t="s">
        <v>4069</v>
      </c>
    </row>
    <row r="170" customFormat="false" ht="36" hidden="false" customHeight="true" outlineLevel="0" collapsed="false">
      <c r="A170" s="11" t="s">
        <v>4067</v>
      </c>
      <c r="B170" s="11" t="s">
        <v>32</v>
      </c>
      <c r="C170" s="8" t="s">
        <v>178</v>
      </c>
      <c r="D170" s="11" t="s">
        <v>3787</v>
      </c>
      <c r="E170" s="11" t="s">
        <v>4070</v>
      </c>
      <c r="F170" s="17" t="s">
        <v>1152</v>
      </c>
    </row>
    <row r="171" customFormat="false" ht="36" hidden="false" customHeight="true" outlineLevel="0" collapsed="false">
      <c r="A171" s="11" t="s">
        <v>4067</v>
      </c>
      <c r="B171" s="11" t="s">
        <v>34</v>
      </c>
      <c r="C171" s="8" t="s">
        <v>364</v>
      </c>
      <c r="D171" s="11" t="s">
        <v>3795</v>
      </c>
      <c r="E171" s="11" t="s">
        <v>4071</v>
      </c>
      <c r="F171" s="17" t="s">
        <v>4072</v>
      </c>
    </row>
    <row r="172" customFormat="false" ht="24" hidden="false" customHeight="true" outlineLevel="0" collapsed="false">
      <c r="A172" s="11" t="s">
        <v>4067</v>
      </c>
      <c r="B172" s="11" t="s">
        <v>34</v>
      </c>
      <c r="C172" s="8" t="s">
        <v>341</v>
      </c>
      <c r="D172" s="11" t="s">
        <v>3787</v>
      </c>
      <c r="E172" s="11" t="s">
        <v>4073</v>
      </c>
      <c r="F172" s="17" t="s">
        <v>1152</v>
      </c>
    </row>
    <row r="173" customFormat="false" ht="36" hidden="false" customHeight="true" outlineLevel="0" collapsed="false">
      <c r="A173" s="11" t="s">
        <v>4067</v>
      </c>
      <c r="B173" s="11" t="s">
        <v>38</v>
      </c>
      <c r="C173" s="8" t="s">
        <v>576</v>
      </c>
      <c r="D173" s="11" t="s">
        <v>3959</v>
      </c>
      <c r="E173" s="11" t="s">
        <v>4074</v>
      </c>
      <c r="F173" s="17" t="s">
        <v>1091</v>
      </c>
    </row>
    <row r="174" customFormat="false" ht="36" hidden="false" customHeight="true" outlineLevel="0" collapsed="false">
      <c r="A174" s="11" t="s">
        <v>4067</v>
      </c>
      <c r="B174" s="11" t="s">
        <v>42</v>
      </c>
      <c r="C174" s="8" t="s">
        <v>178</v>
      </c>
      <c r="D174" s="11" t="s">
        <v>3787</v>
      </c>
      <c r="E174" s="11" t="s">
        <v>4075</v>
      </c>
      <c r="F174" s="17" t="s">
        <v>1152</v>
      </c>
    </row>
    <row r="175" customFormat="false" ht="36" hidden="false" customHeight="true" outlineLevel="0" collapsed="false">
      <c r="A175" s="11" t="s">
        <v>4067</v>
      </c>
      <c r="B175" s="11" t="s">
        <v>42</v>
      </c>
      <c r="C175" s="8" t="s">
        <v>731</v>
      </c>
      <c r="D175" s="11" t="s">
        <v>3787</v>
      </c>
      <c r="E175" s="11" t="s">
        <v>4076</v>
      </c>
      <c r="F175" s="17" t="s">
        <v>1205</v>
      </c>
    </row>
    <row r="176" customFormat="false" ht="48.75" hidden="false" customHeight="true" outlineLevel="0" collapsed="false">
      <c r="A176" s="11" t="s">
        <v>4067</v>
      </c>
      <c r="B176" s="11" t="s">
        <v>42</v>
      </c>
      <c r="C176" s="8" t="s">
        <v>767</v>
      </c>
      <c r="D176" s="11" t="s">
        <v>3791</v>
      </c>
      <c r="E176" s="11" t="s">
        <v>4077</v>
      </c>
      <c r="F176" s="17" t="s">
        <v>4078</v>
      </c>
    </row>
    <row r="177" customFormat="false" ht="48.75" hidden="false" customHeight="true" outlineLevel="0" collapsed="false">
      <c r="A177" s="11" t="s">
        <v>4079</v>
      </c>
      <c r="B177" s="11" t="s">
        <v>30</v>
      </c>
      <c r="C177" s="8" t="s">
        <v>220</v>
      </c>
      <c r="D177" s="11" t="s">
        <v>3791</v>
      </c>
      <c r="E177" s="11" t="s">
        <v>4080</v>
      </c>
      <c r="F177" s="17" t="s">
        <v>4081</v>
      </c>
    </row>
    <row r="178" customFormat="false" ht="36" hidden="false" customHeight="true" outlineLevel="0" collapsed="false">
      <c r="A178" s="11" t="s">
        <v>4079</v>
      </c>
      <c r="B178" s="11" t="s">
        <v>36</v>
      </c>
      <c r="C178" s="8" t="s">
        <v>332</v>
      </c>
      <c r="D178" s="11" t="s">
        <v>3791</v>
      </c>
      <c r="E178" s="11" t="s">
        <v>4082</v>
      </c>
      <c r="F178" s="17" t="s">
        <v>4083</v>
      </c>
    </row>
    <row r="179" customFormat="false" ht="24" hidden="false" customHeight="true" outlineLevel="0" collapsed="false">
      <c r="A179" s="11" t="s">
        <v>4079</v>
      </c>
      <c r="B179" s="11" t="s">
        <v>38</v>
      </c>
      <c r="C179" s="8" t="s">
        <v>537</v>
      </c>
      <c r="D179" s="11" t="s">
        <v>3791</v>
      </c>
      <c r="E179" s="11" t="s">
        <v>4084</v>
      </c>
      <c r="F179" s="17" t="s">
        <v>4085</v>
      </c>
    </row>
    <row r="180" customFormat="false" ht="48.75" hidden="false" customHeight="true" outlineLevel="0" collapsed="false">
      <c r="A180" s="11" t="s">
        <v>4086</v>
      </c>
      <c r="B180" s="11" t="s">
        <v>36</v>
      </c>
      <c r="C180" s="8" t="s">
        <v>473</v>
      </c>
      <c r="D180" s="11" t="s">
        <v>3787</v>
      </c>
      <c r="E180" s="11" t="s">
        <v>4087</v>
      </c>
      <c r="F180" s="17" t="s">
        <v>4088</v>
      </c>
    </row>
    <row r="181" customFormat="false" ht="24" hidden="false" customHeight="true" outlineLevel="0" collapsed="false">
      <c r="A181" s="11" t="s">
        <v>4089</v>
      </c>
      <c r="B181" s="11" t="s">
        <v>32</v>
      </c>
      <c r="C181" s="8" t="s">
        <v>306</v>
      </c>
      <c r="D181" s="11" t="s">
        <v>3791</v>
      </c>
      <c r="E181" s="11" t="s">
        <v>4090</v>
      </c>
      <c r="F181" s="17" t="s">
        <v>3881</v>
      </c>
    </row>
    <row r="182" customFormat="false" ht="24" hidden="false" customHeight="true" outlineLevel="0" collapsed="false">
      <c r="A182" s="11" t="s">
        <v>4089</v>
      </c>
      <c r="B182" s="11" t="s">
        <v>32</v>
      </c>
      <c r="C182" s="8" t="s">
        <v>280</v>
      </c>
      <c r="D182" s="11" t="s">
        <v>3787</v>
      </c>
      <c r="E182" s="11" t="s">
        <v>4091</v>
      </c>
      <c r="F182" s="17" t="s">
        <v>4092</v>
      </c>
    </row>
    <row r="183" customFormat="false" ht="36" hidden="false" customHeight="true" outlineLevel="0" collapsed="false">
      <c r="A183" s="11" t="s">
        <v>4089</v>
      </c>
      <c r="B183" s="11" t="s">
        <v>36</v>
      </c>
      <c r="C183" s="8" t="s">
        <v>457</v>
      </c>
      <c r="D183" s="11" t="s">
        <v>3787</v>
      </c>
      <c r="E183" s="11" t="s">
        <v>4093</v>
      </c>
      <c r="F183" s="17" t="s">
        <v>4094</v>
      </c>
    </row>
    <row r="184" customFormat="false" ht="24" hidden="false" customHeight="true" outlineLevel="0" collapsed="false">
      <c r="A184" s="11" t="s">
        <v>4089</v>
      </c>
      <c r="B184" s="11" t="s">
        <v>36</v>
      </c>
      <c r="C184" s="8" t="s">
        <v>427</v>
      </c>
      <c r="D184" s="11" t="s">
        <v>3787</v>
      </c>
      <c r="E184" s="11" t="s">
        <v>4095</v>
      </c>
      <c r="F184" s="17" t="s">
        <v>4092</v>
      </c>
    </row>
    <row r="185" customFormat="false" ht="60.75" hidden="false" customHeight="true" outlineLevel="0" collapsed="false">
      <c r="A185" s="11" t="s">
        <v>4089</v>
      </c>
      <c r="B185" s="11" t="s">
        <v>36</v>
      </c>
      <c r="C185" s="8" t="s">
        <v>475</v>
      </c>
      <c r="D185" s="11" t="s">
        <v>3791</v>
      </c>
      <c r="E185" s="11" t="s">
        <v>4096</v>
      </c>
      <c r="F185" s="17" t="s">
        <v>4097</v>
      </c>
    </row>
    <row r="186" customFormat="false" ht="36" hidden="false" customHeight="true" outlineLevel="0" collapsed="false">
      <c r="A186" s="11" t="s">
        <v>4089</v>
      </c>
      <c r="B186" s="11" t="s">
        <v>36</v>
      </c>
      <c r="C186" s="8" t="s">
        <v>462</v>
      </c>
      <c r="D186" s="11" t="s">
        <v>3791</v>
      </c>
      <c r="E186" s="11" t="s">
        <v>4098</v>
      </c>
      <c r="F186" s="17" t="s">
        <v>3958</v>
      </c>
    </row>
    <row r="187" customFormat="false" ht="24" hidden="false" customHeight="true" outlineLevel="0" collapsed="false">
      <c r="A187" s="11" t="s">
        <v>4089</v>
      </c>
      <c r="B187" s="11" t="s">
        <v>42</v>
      </c>
      <c r="C187" s="8" t="s">
        <v>740</v>
      </c>
      <c r="D187" s="11" t="s">
        <v>3791</v>
      </c>
      <c r="E187" s="11" t="s">
        <v>4099</v>
      </c>
      <c r="F187" s="17" t="s">
        <v>4100</v>
      </c>
    </row>
    <row r="188" customFormat="false" ht="36" hidden="false" customHeight="true" outlineLevel="0" collapsed="false">
      <c r="A188" s="11" t="s">
        <v>4101</v>
      </c>
      <c r="B188" s="11" t="s">
        <v>30</v>
      </c>
      <c r="C188" s="8" t="s">
        <v>188</v>
      </c>
      <c r="D188" s="11" t="s">
        <v>3787</v>
      </c>
      <c r="E188" s="11" t="s">
        <v>4102</v>
      </c>
      <c r="F188" s="17" t="s">
        <v>4103</v>
      </c>
    </row>
    <row r="189" customFormat="false" ht="48.75" hidden="false" customHeight="true" outlineLevel="0" collapsed="false">
      <c r="A189" s="11" t="s">
        <v>4101</v>
      </c>
      <c r="B189" s="11" t="s">
        <v>30</v>
      </c>
      <c r="C189" s="8" t="s">
        <v>240</v>
      </c>
      <c r="D189" s="11" t="s">
        <v>3791</v>
      </c>
      <c r="E189" s="11" t="s">
        <v>4104</v>
      </c>
      <c r="F189" s="17" t="s">
        <v>4105</v>
      </c>
    </row>
    <row r="190" customFormat="false" ht="24" hidden="false" customHeight="true" outlineLevel="0" collapsed="false">
      <c r="A190" s="11" t="s">
        <v>4101</v>
      </c>
      <c r="B190" s="11" t="s">
        <v>30</v>
      </c>
      <c r="C190" s="8" t="s">
        <v>194</v>
      </c>
      <c r="D190" s="11" t="s">
        <v>3791</v>
      </c>
      <c r="E190" s="11" t="s">
        <v>4106</v>
      </c>
      <c r="F190" s="17" t="s">
        <v>4107</v>
      </c>
    </row>
    <row r="191" customFormat="false" ht="48.75" hidden="false" customHeight="true" outlineLevel="0" collapsed="false">
      <c r="A191" s="11" t="s">
        <v>4101</v>
      </c>
      <c r="B191" s="11" t="s">
        <v>32</v>
      </c>
      <c r="C191" s="8" t="s">
        <v>317</v>
      </c>
      <c r="D191" s="11" t="s">
        <v>3787</v>
      </c>
      <c r="E191" s="11" t="s">
        <v>4108</v>
      </c>
      <c r="F191" s="17" t="s">
        <v>4105</v>
      </c>
    </row>
    <row r="192" customFormat="false" ht="24" hidden="false" customHeight="true" outlineLevel="0" collapsed="false">
      <c r="A192" s="11" t="s">
        <v>4101</v>
      </c>
      <c r="B192" s="11" t="s">
        <v>32</v>
      </c>
      <c r="C192" s="8" t="s">
        <v>317</v>
      </c>
      <c r="D192" s="11" t="s">
        <v>3884</v>
      </c>
      <c r="E192" s="11" t="s">
        <v>4109</v>
      </c>
      <c r="F192" s="17" t="s">
        <v>4105</v>
      </c>
    </row>
    <row r="193" customFormat="false" ht="36" hidden="false" customHeight="true" outlineLevel="0" collapsed="false">
      <c r="A193" s="11" t="s">
        <v>4101</v>
      </c>
      <c r="B193" s="11" t="s">
        <v>32</v>
      </c>
      <c r="C193" s="8" t="s">
        <v>178</v>
      </c>
      <c r="D193" s="11" t="s">
        <v>3787</v>
      </c>
      <c r="E193" s="11" t="s">
        <v>4110</v>
      </c>
      <c r="F193" s="17" t="s">
        <v>4111</v>
      </c>
    </row>
    <row r="194" customFormat="false" ht="36" hidden="false" customHeight="true" outlineLevel="0" collapsed="false">
      <c r="A194" s="11" t="s">
        <v>4101</v>
      </c>
      <c r="B194" s="11" t="s">
        <v>32</v>
      </c>
      <c r="C194" s="8" t="s">
        <v>324</v>
      </c>
      <c r="D194" s="11" t="s">
        <v>3791</v>
      </c>
      <c r="E194" s="11" t="s">
        <v>4112</v>
      </c>
      <c r="F194" s="17" t="s">
        <v>902</v>
      </c>
    </row>
    <row r="195" customFormat="false" ht="36" hidden="false" customHeight="true" outlineLevel="0" collapsed="false">
      <c r="A195" s="11" t="s">
        <v>4101</v>
      </c>
      <c r="B195" s="11" t="s">
        <v>34</v>
      </c>
      <c r="C195" s="8" t="s">
        <v>403</v>
      </c>
      <c r="D195" s="11" t="s">
        <v>3791</v>
      </c>
      <c r="E195" s="11" t="s">
        <v>4113</v>
      </c>
      <c r="F195" s="17" t="s">
        <v>4105</v>
      </c>
    </row>
    <row r="196" customFormat="false" ht="36" hidden="false" customHeight="true" outlineLevel="0" collapsed="false">
      <c r="A196" s="11" t="s">
        <v>4101</v>
      </c>
      <c r="B196" s="11" t="s">
        <v>36</v>
      </c>
      <c r="C196" s="8" t="s">
        <v>490</v>
      </c>
      <c r="D196" s="11" t="s">
        <v>3791</v>
      </c>
      <c r="E196" s="11" t="s">
        <v>4114</v>
      </c>
      <c r="F196" s="17" t="s">
        <v>4115</v>
      </c>
    </row>
    <row r="197" customFormat="false" ht="36" hidden="false" customHeight="true" outlineLevel="0" collapsed="false">
      <c r="A197" s="11" t="s">
        <v>4101</v>
      </c>
      <c r="B197" s="11" t="s">
        <v>36</v>
      </c>
      <c r="C197" s="8" t="s">
        <v>490</v>
      </c>
      <c r="D197" s="11" t="s">
        <v>3791</v>
      </c>
      <c r="E197" s="11" t="s">
        <v>4116</v>
      </c>
      <c r="F197" s="17" t="s">
        <v>4117</v>
      </c>
    </row>
    <row r="198" customFormat="false" ht="36" hidden="false" customHeight="true" outlineLevel="0" collapsed="false">
      <c r="A198" s="11" t="s">
        <v>4101</v>
      </c>
      <c r="B198" s="11" t="s">
        <v>36</v>
      </c>
      <c r="C198" s="8" t="s">
        <v>471</v>
      </c>
      <c r="D198" s="11" t="s">
        <v>3791</v>
      </c>
      <c r="E198" s="11" t="s">
        <v>4118</v>
      </c>
      <c r="F198" s="17" t="s">
        <v>4105</v>
      </c>
    </row>
    <row r="199" customFormat="false" ht="48.75" hidden="false" customHeight="true" outlineLevel="0" collapsed="false">
      <c r="A199" s="11" t="s">
        <v>4101</v>
      </c>
      <c r="B199" s="11" t="s">
        <v>40</v>
      </c>
      <c r="C199" s="8" t="s">
        <v>644</v>
      </c>
      <c r="D199" s="11" t="s">
        <v>3791</v>
      </c>
      <c r="E199" s="11" t="s">
        <v>4119</v>
      </c>
      <c r="F199" s="17" t="s">
        <v>4105</v>
      </c>
    </row>
    <row r="200" customFormat="false" ht="60.75" hidden="false" customHeight="true" outlineLevel="0" collapsed="false">
      <c r="A200" s="11" t="s">
        <v>4101</v>
      </c>
      <c r="B200" s="11" t="s">
        <v>42</v>
      </c>
      <c r="C200" s="8" t="s">
        <v>760</v>
      </c>
      <c r="D200" s="11" t="s">
        <v>3791</v>
      </c>
      <c r="E200" s="11" t="s">
        <v>4120</v>
      </c>
      <c r="F200" s="17" t="s">
        <v>4105</v>
      </c>
    </row>
    <row r="201" customFormat="false" ht="36" hidden="false" customHeight="true" outlineLevel="0" collapsed="false">
      <c r="A201" s="11" t="s">
        <v>4101</v>
      </c>
      <c r="B201" s="11" t="s">
        <v>42</v>
      </c>
      <c r="C201" s="8" t="s">
        <v>178</v>
      </c>
      <c r="D201" s="11" t="s">
        <v>3787</v>
      </c>
      <c r="E201" s="11" t="s">
        <v>4121</v>
      </c>
      <c r="F201" s="17" t="s">
        <v>4111</v>
      </c>
    </row>
    <row r="202" customFormat="false" ht="36" hidden="false" customHeight="true" outlineLevel="0" collapsed="false">
      <c r="A202" s="11" t="s">
        <v>4101</v>
      </c>
      <c r="B202" s="11" t="s">
        <v>42</v>
      </c>
      <c r="C202" s="8" t="s">
        <v>679</v>
      </c>
      <c r="D202" s="11" t="s">
        <v>3791</v>
      </c>
      <c r="E202" s="11" t="s">
        <v>4122</v>
      </c>
      <c r="F202" s="17" t="s">
        <v>4107</v>
      </c>
    </row>
    <row r="203" customFormat="false" ht="24" hidden="false" customHeight="true" outlineLevel="0" collapsed="false">
      <c r="A203" s="11" t="s">
        <v>4123</v>
      </c>
      <c r="B203" s="11" t="s">
        <v>30</v>
      </c>
      <c r="C203" s="8" t="s">
        <v>201</v>
      </c>
      <c r="D203" s="11" t="s">
        <v>3787</v>
      </c>
      <c r="E203" s="11" t="s">
        <v>4124</v>
      </c>
      <c r="F203" s="17" t="s">
        <v>4125</v>
      </c>
    </row>
    <row r="204" customFormat="false" ht="36" hidden="false" customHeight="true" outlineLevel="0" collapsed="false">
      <c r="A204" s="11" t="s">
        <v>4123</v>
      </c>
      <c r="B204" s="11" t="s">
        <v>30</v>
      </c>
      <c r="C204" s="8" t="s">
        <v>204</v>
      </c>
      <c r="D204" s="11" t="s">
        <v>3787</v>
      </c>
      <c r="E204" s="11" t="s">
        <v>4126</v>
      </c>
      <c r="F204" s="17" t="s">
        <v>4127</v>
      </c>
    </row>
    <row r="205" customFormat="false" ht="24" hidden="false" customHeight="true" outlineLevel="0" collapsed="false">
      <c r="A205" s="11" t="s">
        <v>4123</v>
      </c>
      <c r="B205" s="11" t="s">
        <v>32</v>
      </c>
      <c r="C205" s="8" t="s">
        <v>306</v>
      </c>
      <c r="D205" s="11" t="s">
        <v>3787</v>
      </c>
      <c r="E205" s="11" t="s">
        <v>4128</v>
      </c>
      <c r="F205" s="17" t="s">
        <v>3881</v>
      </c>
    </row>
    <row r="206" customFormat="false" ht="24" hidden="false" customHeight="true" outlineLevel="0" collapsed="false">
      <c r="A206" s="11" t="s">
        <v>4123</v>
      </c>
      <c r="B206" s="11" t="s">
        <v>32</v>
      </c>
      <c r="C206" s="8" t="s">
        <v>307</v>
      </c>
      <c r="D206" s="11" t="s">
        <v>3791</v>
      </c>
      <c r="E206" s="11" t="s">
        <v>4129</v>
      </c>
      <c r="F206" s="17" t="s">
        <v>4130</v>
      </c>
    </row>
    <row r="207" customFormat="false" ht="24" hidden="false" customHeight="true" outlineLevel="0" collapsed="false">
      <c r="A207" s="11" t="s">
        <v>4123</v>
      </c>
      <c r="B207" s="11" t="s">
        <v>34</v>
      </c>
      <c r="C207" s="8" t="s">
        <v>350</v>
      </c>
      <c r="D207" s="11" t="s">
        <v>3791</v>
      </c>
      <c r="E207" s="11" t="s">
        <v>4131</v>
      </c>
      <c r="F207" s="17" t="s">
        <v>4132</v>
      </c>
    </row>
    <row r="208" customFormat="false" ht="36" hidden="false" customHeight="true" outlineLevel="0" collapsed="false">
      <c r="A208" s="11" t="s">
        <v>4123</v>
      </c>
      <c r="B208" s="11" t="s">
        <v>34</v>
      </c>
      <c r="C208" s="8" t="s">
        <v>392</v>
      </c>
      <c r="D208" s="11" t="s">
        <v>3787</v>
      </c>
      <c r="E208" s="11" t="s">
        <v>4133</v>
      </c>
      <c r="F208" s="17" t="s">
        <v>946</v>
      </c>
    </row>
    <row r="209" customFormat="false" ht="36" hidden="false" customHeight="true" outlineLevel="0" collapsed="false">
      <c r="A209" s="11" t="s">
        <v>4123</v>
      </c>
      <c r="B209" s="11" t="s">
        <v>36</v>
      </c>
      <c r="C209" s="8" t="s">
        <v>433</v>
      </c>
      <c r="D209" s="11" t="s">
        <v>3791</v>
      </c>
      <c r="E209" s="11" t="s">
        <v>4134</v>
      </c>
      <c r="F209" s="17" t="s">
        <v>3811</v>
      </c>
    </row>
    <row r="210" customFormat="false" ht="36" hidden="false" customHeight="true" outlineLevel="0" collapsed="false">
      <c r="A210" s="11" t="s">
        <v>4123</v>
      </c>
      <c r="B210" s="11" t="s">
        <v>38</v>
      </c>
      <c r="C210" s="8" t="s">
        <v>507</v>
      </c>
      <c r="D210" s="11" t="s">
        <v>3791</v>
      </c>
      <c r="E210" s="11" t="s">
        <v>4135</v>
      </c>
      <c r="F210" s="17" t="s">
        <v>4136</v>
      </c>
    </row>
    <row r="211" customFormat="false" ht="36" hidden="false" customHeight="true" outlineLevel="0" collapsed="false">
      <c r="A211" s="11" t="s">
        <v>4123</v>
      </c>
      <c r="B211" s="11" t="s">
        <v>40</v>
      </c>
      <c r="C211" s="8" t="s">
        <v>639</v>
      </c>
      <c r="D211" s="11" t="s">
        <v>3787</v>
      </c>
      <c r="E211" s="11" t="s">
        <v>4137</v>
      </c>
      <c r="F211" s="17" t="s">
        <v>4138</v>
      </c>
    </row>
    <row r="212" customFormat="false" ht="24" hidden="false" customHeight="true" outlineLevel="0" collapsed="false">
      <c r="A212" s="11" t="s">
        <v>4123</v>
      </c>
      <c r="B212" s="11" t="s">
        <v>42</v>
      </c>
      <c r="C212" s="8" t="s">
        <v>740</v>
      </c>
      <c r="D212" s="11" t="s">
        <v>3787</v>
      </c>
      <c r="E212" s="11" t="s">
        <v>4139</v>
      </c>
      <c r="F212" s="17" t="s">
        <v>4140</v>
      </c>
    </row>
    <row r="213" customFormat="false" ht="36" hidden="false" customHeight="true" outlineLevel="0" collapsed="false">
      <c r="A213" s="11" t="s">
        <v>4123</v>
      </c>
      <c r="B213" s="11" t="s">
        <v>42</v>
      </c>
      <c r="C213" s="8" t="s">
        <v>749</v>
      </c>
      <c r="D213" s="11" t="s">
        <v>3791</v>
      </c>
      <c r="E213" s="11" t="s">
        <v>4141</v>
      </c>
      <c r="F213" s="17" t="s">
        <v>3857</v>
      </c>
    </row>
    <row r="214" customFormat="false" ht="36" hidden="false" customHeight="true" outlineLevel="0" collapsed="false">
      <c r="A214" s="11" t="s">
        <v>4123</v>
      </c>
      <c r="B214" s="11" t="s">
        <v>42</v>
      </c>
      <c r="C214" s="8" t="s">
        <v>728</v>
      </c>
      <c r="D214" s="11" t="s">
        <v>3795</v>
      </c>
      <c r="E214" s="11" t="s">
        <v>4142</v>
      </c>
      <c r="F214" s="17" t="s">
        <v>1203</v>
      </c>
    </row>
    <row r="215" customFormat="false" ht="24" hidden="false" customHeight="true" outlineLevel="0" collapsed="false">
      <c r="A215" s="11" t="s">
        <v>4143</v>
      </c>
      <c r="B215" s="11" t="s">
        <v>30</v>
      </c>
      <c r="C215" s="8" t="s">
        <v>201</v>
      </c>
      <c r="D215" s="11" t="s">
        <v>3795</v>
      </c>
      <c r="E215" s="11" t="s">
        <v>4144</v>
      </c>
      <c r="F215" s="17" t="s">
        <v>4145</v>
      </c>
    </row>
    <row r="216" customFormat="false" ht="24" hidden="false" customHeight="true" outlineLevel="0" collapsed="false">
      <c r="A216" s="11" t="s">
        <v>4143</v>
      </c>
      <c r="B216" s="11" t="s">
        <v>30</v>
      </c>
      <c r="C216" s="8" t="s">
        <v>190</v>
      </c>
      <c r="D216" s="11" t="s">
        <v>3787</v>
      </c>
      <c r="E216" s="11" t="s">
        <v>4146</v>
      </c>
      <c r="F216" s="17" t="s">
        <v>4147</v>
      </c>
    </row>
    <row r="217" customFormat="false" ht="24" hidden="false" customHeight="true" outlineLevel="0" collapsed="false">
      <c r="A217" s="11" t="s">
        <v>4143</v>
      </c>
      <c r="B217" s="11" t="s">
        <v>32</v>
      </c>
      <c r="C217" s="8" t="s">
        <v>265</v>
      </c>
      <c r="D217" s="11" t="s">
        <v>3787</v>
      </c>
      <c r="E217" s="11" t="s">
        <v>4148</v>
      </c>
      <c r="F217" s="17" t="s">
        <v>4149</v>
      </c>
    </row>
    <row r="218" customFormat="false" ht="24" hidden="false" customHeight="true" outlineLevel="0" collapsed="false">
      <c r="A218" s="11" t="s">
        <v>4143</v>
      </c>
      <c r="B218" s="11" t="s">
        <v>38</v>
      </c>
      <c r="C218" s="8" t="s">
        <v>555</v>
      </c>
      <c r="D218" s="11" t="s">
        <v>3787</v>
      </c>
      <c r="E218" s="11" t="s">
        <v>4150</v>
      </c>
      <c r="F218" s="17" t="s">
        <v>4151</v>
      </c>
    </row>
    <row r="219" customFormat="false" ht="36" hidden="false" customHeight="true" outlineLevel="0" collapsed="false">
      <c r="A219" s="11" t="s">
        <v>4143</v>
      </c>
      <c r="B219" s="11" t="s">
        <v>38</v>
      </c>
      <c r="C219" s="8" t="s">
        <v>573</v>
      </c>
      <c r="D219" s="11" t="s">
        <v>3791</v>
      </c>
      <c r="E219" s="11" t="s">
        <v>4152</v>
      </c>
      <c r="F219" s="17" t="s">
        <v>4153</v>
      </c>
    </row>
    <row r="220" customFormat="false" ht="60.75" hidden="false" customHeight="true" outlineLevel="0" collapsed="false">
      <c r="A220" s="11" t="s">
        <v>4154</v>
      </c>
      <c r="B220" s="11" t="s">
        <v>30</v>
      </c>
      <c r="C220" s="8" t="s">
        <v>224</v>
      </c>
      <c r="D220" s="11" t="s">
        <v>3791</v>
      </c>
      <c r="E220" s="11" t="s">
        <v>4155</v>
      </c>
      <c r="F220" s="17" t="s">
        <v>4156</v>
      </c>
    </row>
    <row r="221" customFormat="false" ht="36" hidden="false" customHeight="true" outlineLevel="0" collapsed="false">
      <c r="A221" s="11" t="s">
        <v>4154</v>
      </c>
      <c r="B221" s="11" t="s">
        <v>30</v>
      </c>
      <c r="C221" s="8" t="s">
        <v>251</v>
      </c>
      <c r="D221" s="11" t="s">
        <v>3791</v>
      </c>
      <c r="E221" s="11" t="s">
        <v>4157</v>
      </c>
      <c r="F221" s="17" t="s">
        <v>4158</v>
      </c>
    </row>
    <row r="222" customFormat="false" ht="36" hidden="false" customHeight="true" outlineLevel="0" collapsed="false">
      <c r="A222" s="11" t="s">
        <v>4154</v>
      </c>
      <c r="B222" s="11" t="s">
        <v>32</v>
      </c>
      <c r="C222" s="8" t="s">
        <v>285</v>
      </c>
      <c r="D222" s="11" t="s">
        <v>3791</v>
      </c>
      <c r="E222" s="11" t="s">
        <v>4159</v>
      </c>
      <c r="F222" s="17" t="s">
        <v>3811</v>
      </c>
    </row>
    <row r="223" customFormat="false" ht="36" hidden="false" customHeight="true" outlineLevel="0" collapsed="false">
      <c r="A223" s="11" t="s">
        <v>4154</v>
      </c>
      <c r="B223" s="11" t="s">
        <v>32</v>
      </c>
      <c r="C223" s="8" t="s">
        <v>303</v>
      </c>
      <c r="D223" s="11" t="s">
        <v>3791</v>
      </c>
      <c r="E223" s="11" t="s">
        <v>4160</v>
      </c>
      <c r="F223" s="17" t="s">
        <v>4158</v>
      </c>
    </row>
    <row r="224" customFormat="false" ht="36" hidden="false" customHeight="true" outlineLevel="0" collapsed="false">
      <c r="A224" s="11" t="s">
        <v>4154</v>
      </c>
      <c r="B224" s="11" t="s">
        <v>32</v>
      </c>
      <c r="C224" s="8" t="s">
        <v>321</v>
      </c>
      <c r="D224" s="11" t="s">
        <v>3791</v>
      </c>
      <c r="E224" s="11" t="s">
        <v>4161</v>
      </c>
      <c r="F224" s="17" t="s">
        <v>4162</v>
      </c>
    </row>
    <row r="225" customFormat="false" ht="24" hidden="false" customHeight="true" outlineLevel="0" collapsed="false">
      <c r="A225" s="11" t="s">
        <v>4154</v>
      </c>
      <c r="B225" s="11" t="s">
        <v>32</v>
      </c>
      <c r="C225" s="8" t="s">
        <v>332</v>
      </c>
      <c r="D225" s="11" t="s">
        <v>3791</v>
      </c>
      <c r="E225" s="11" t="s">
        <v>4163</v>
      </c>
      <c r="F225" s="17" t="s">
        <v>1029</v>
      </c>
    </row>
    <row r="226" customFormat="false" ht="36" hidden="false" customHeight="true" outlineLevel="0" collapsed="false">
      <c r="A226" s="11" t="s">
        <v>4154</v>
      </c>
      <c r="B226" s="11" t="s">
        <v>34</v>
      </c>
      <c r="C226" s="8" t="s">
        <v>361</v>
      </c>
      <c r="D226" s="11" t="s">
        <v>3791</v>
      </c>
      <c r="E226" s="11" t="s">
        <v>4164</v>
      </c>
      <c r="F226" s="17" t="s">
        <v>4165</v>
      </c>
    </row>
    <row r="227" customFormat="false" ht="24" hidden="false" customHeight="true" outlineLevel="0" collapsed="false">
      <c r="A227" s="11" t="s">
        <v>4154</v>
      </c>
      <c r="B227" s="11" t="s">
        <v>34</v>
      </c>
      <c r="C227" s="8" t="s">
        <v>385</v>
      </c>
      <c r="D227" s="11" t="s">
        <v>3787</v>
      </c>
      <c r="E227" s="11" t="s">
        <v>4166</v>
      </c>
      <c r="F227" s="17" t="s">
        <v>4078</v>
      </c>
    </row>
    <row r="228" customFormat="false" ht="36" hidden="false" customHeight="true" outlineLevel="0" collapsed="false">
      <c r="A228" s="11" t="s">
        <v>4154</v>
      </c>
      <c r="B228" s="11" t="s">
        <v>36</v>
      </c>
      <c r="C228" s="8" t="s">
        <v>332</v>
      </c>
      <c r="D228" s="11" t="s">
        <v>3791</v>
      </c>
      <c r="E228" s="11" t="s">
        <v>4167</v>
      </c>
      <c r="F228" s="17" t="s">
        <v>1029</v>
      </c>
    </row>
    <row r="229" customFormat="false" ht="24" hidden="false" customHeight="true" outlineLevel="0" collapsed="false">
      <c r="A229" s="11" t="s">
        <v>4154</v>
      </c>
      <c r="B229" s="11" t="s">
        <v>38</v>
      </c>
      <c r="C229" s="8" t="s">
        <v>558</v>
      </c>
      <c r="D229" s="11" t="s">
        <v>3795</v>
      </c>
      <c r="E229" s="11" t="s">
        <v>4168</v>
      </c>
      <c r="F229" s="17" t="s">
        <v>4169</v>
      </c>
    </row>
    <row r="230" customFormat="false" ht="36" hidden="false" customHeight="true" outlineLevel="0" collapsed="false">
      <c r="A230" s="11" t="s">
        <v>4154</v>
      </c>
      <c r="B230" s="11" t="s">
        <v>42</v>
      </c>
      <c r="C230" s="8" t="s">
        <v>767</v>
      </c>
      <c r="D230" s="11" t="s">
        <v>3791</v>
      </c>
      <c r="E230" s="11" t="s">
        <v>4170</v>
      </c>
      <c r="F230" s="17" t="s">
        <v>4158</v>
      </c>
    </row>
    <row r="231" customFormat="false" ht="24" hidden="false" customHeight="true" outlineLevel="0" collapsed="false">
      <c r="A231" s="11" t="s">
        <v>4154</v>
      </c>
      <c r="B231" s="11" t="s">
        <v>42</v>
      </c>
      <c r="C231" s="8" t="s">
        <v>763</v>
      </c>
      <c r="D231" s="11" t="s">
        <v>3791</v>
      </c>
      <c r="E231" s="11" t="s">
        <v>4171</v>
      </c>
      <c r="F231" s="17" t="s">
        <v>4066</v>
      </c>
    </row>
    <row r="232" customFormat="false" ht="24" hidden="false" customHeight="true" outlineLevel="0" collapsed="false">
      <c r="A232" s="11" t="s">
        <v>4172</v>
      </c>
      <c r="B232" s="11" t="s">
        <v>34</v>
      </c>
      <c r="C232" s="8" t="s">
        <v>361</v>
      </c>
      <c r="D232" s="11" t="s">
        <v>3787</v>
      </c>
      <c r="E232" s="11" t="s">
        <v>4173</v>
      </c>
      <c r="F232" s="17" t="s">
        <v>2083</v>
      </c>
    </row>
    <row r="233" customFormat="false" ht="36" hidden="false" customHeight="true" outlineLevel="0" collapsed="false">
      <c r="A233" s="11" t="s">
        <v>4174</v>
      </c>
      <c r="B233" s="11" t="s">
        <v>32</v>
      </c>
      <c r="C233" s="8" t="s">
        <v>285</v>
      </c>
      <c r="D233" s="11" t="s">
        <v>3795</v>
      </c>
      <c r="E233" s="11" t="s">
        <v>4175</v>
      </c>
      <c r="F233" s="17" t="s">
        <v>4176</v>
      </c>
    </row>
    <row r="234" customFormat="false" ht="15" hidden="false" customHeight="true" outlineLevel="0" collapsed="false">
      <c r="A234" s="11" t="s">
        <v>4177</v>
      </c>
      <c r="B234" s="11" t="s">
        <v>34</v>
      </c>
      <c r="C234" s="8" t="s">
        <v>388</v>
      </c>
      <c r="D234" s="11" t="s">
        <v>3795</v>
      </c>
      <c r="E234" s="11" t="s">
        <v>4178</v>
      </c>
      <c r="F234" s="17" t="s">
        <v>4179</v>
      </c>
    </row>
    <row r="235" customFormat="false" ht="15" hidden="false" customHeight="true" outlineLevel="0" collapsed="false">
      <c r="A235" s="11" t="s">
        <v>4180</v>
      </c>
      <c r="B235" s="11" t="s">
        <v>42</v>
      </c>
      <c r="C235" s="8" t="s">
        <v>72</v>
      </c>
      <c r="D235" s="11" t="s">
        <v>3787</v>
      </c>
      <c r="E235" s="11" t="s">
        <v>4181</v>
      </c>
      <c r="F235" s="17" t="s">
        <v>4182</v>
      </c>
    </row>
    <row r="236" customFormat="false" ht="15" hidden="false" customHeight="true" outlineLevel="0" collapsed="false">
      <c r="A236" s="11" t="s">
        <v>4183</v>
      </c>
      <c r="B236" s="11" t="s">
        <v>32</v>
      </c>
      <c r="C236" s="8" t="s">
        <v>306</v>
      </c>
      <c r="D236" s="11" t="s">
        <v>3787</v>
      </c>
      <c r="E236" s="11" t="s">
        <v>4184</v>
      </c>
      <c r="F236" s="17" t="s">
        <v>4185</v>
      </c>
    </row>
  </sheetData>
  <autoFilter ref="A4:F236"/>
  <hyperlinks>
    <hyperlink ref="F5" r:id="rId1" display="https://docs.endorlabs.com/releasenotes/october-2026"/>
    <hyperlink ref="F6" r:id="rId2" display="https://docs.endorlabs.com/releasenotes/october-2026"/>
    <hyperlink ref="F7" r:id="rId3" display="https://docs.sdelements.com/release/latest/guide/docs/whatsnew.html"/>
    <hyperlink ref="F8" r:id="rId4" display="https://github.blog/changelog/2026-10-16-open-source-license-compliance-generally-available"/>
    <hyperlink ref="F9" r:id="rId5" display="https://github.blog/changelog/2026-10-16-open-source-license-compliance-generally-available/"/>
    <hyperlink ref="F10" r:id="rId6" display="https://github.blog/changelog/2026-10-16-open-source-license-compliance-generally-available"/>
    <hyperlink ref="F11" r:id="rId7" display="https://checkmarx.com/press-releases/checkmarx-joins-the-claude-marketplace/"/>
    <hyperlink ref="F12" r:id="rId8" display="https://github.blog/changelog/2026-10-15-ai-scan-for-pull-requests-generally-available"/>
    <hyperlink ref="F13" r:id="rId9" display="https://github.blog/changelog/2026-10-15-agentic-autofix-for-code-scanning-alerts-general-availability"/>
    <hyperlink ref="F14" r:id="rId10" display="https://docs.gitlab.com/releases/19/gitlab-19-5-released/"/>
    <hyperlink ref="F15" r:id="rId11" display="https://checkmarx.com/press-releases/checkmarx-joins-the-claude-marketplace/"/>
    <hyperlink ref="F16" r:id="rId12" display="https://docs.gitlab.com/releases/19/gitlab-19-5-released/"/>
    <hyperlink ref="F17" r:id="rId13" display="https://docs.jfrog.com/releases/docs/xray"/>
    <hyperlink ref="F18" r:id="rId14" display="https://docs.jfrog.com/releases/docs/xray"/>
    <hyperlink ref="F19" r:id="rId15" display="https://docs.jfrog.com/releases/docs/xray"/>
    <hyperlink ref="F20" r:id="rId16" display="https://docs.gitguardian.com/releases/saas/2026/10/15/changelog"/>
    <hyperlink ref="F21" r:id="rId17" display="https://docs.gitlab.com/releases/19/gitlab-19-5-released/"/>
    <hyperlink ref="F22" r:id="rId18" display="https://docs.jfrog.com/releases/docs/xray"/>
    <hyperlink ref="F23" r:id="rId19" display="https://docs.gitlab.com/releases/19/gitlab-19-5-released/"/>
    <hyperlink ref="F24" r:id="rId20" display="https://docs.gitlab.com/releases/19/gitlab-19-5-released/"/>
    <hyperlink ref="F25" r:id="rId21" display="https://checkmarx.com/press-releases/checkmarx-joins-the-claude-marketplace/"/>
    <hyperlink ref="F26" r:id="rId22" display="https://github.blog/changelog/2026-10-15-agentic-autofix-for-code-scanning-alerts-general-availability"/>
    <hyperlink ref="F27" r:id="rId23" display="https://github.blog/changelog/2026-10-15-ai-scan-for-pull-requests-generally-available"/>
    <hyperlink ref="F28" r:id="rId24" display="https://docs.gitlab.com/releases/19/gitlab-19-5-released/"/>
    <hyperlink ref="F29" r:id="rId25" display="https://www.endorlabs.com/learn/byok-for-endor-labs"/>
    <hyperlink ref="F30" r:id="rId26" display="https://www.sonatype.com/press-releases/sonatype-unveils-nexus-repository-pro-plus"/>
    <hyperlink ref="F31" r:id="rId27" display="https://socket.dev/blog/socket-for-origin"/>
    <hyperlink ref="F32" r:id="rId28" display="https://github.com/aquasecurity/trivy/discussions/11409"/>
    <hyperlink ref="F33" r:id="rId29" display="https://trufflesecurity.com/docs/2026-october"/>
    <hyperlink ref="F34" r:id="rId30" display="https://github.com/aquasecurity/trivy/discussions/11409"/>
    <hyperlink ref="F35" r:id="rId31" display="https://www.sonatype.com/press-releases/sonatype-unveils-nexus-repository-pro-plus"/>
    <hyperlink ref="F36" r:id="rId32" display="https://www.wiz.io/blog/wiz-for-gov-agents-fedramp"/>
    <hyperlink ref="F37" r:id="rId33" display="https://www.endorlabs.com/learn/byok-for-endor-labs"/>
    <hyperlink ref="F38" r:id="rId34" display="https://www.sonatype.com/press-releases/sonatype-unveils-nexus-repository-pro-plus"/>
    <hyperlink ref="F39" r:id="rId35" display="https://docs.veracode.com/updates"/>
    <hyperlink ref="F40" r:id="rId36" display="https://updates.snyk.io/snyk-code-october-update/"/>
    <hyperlink ref="F41" r:id="rId37" display="https://github.blog/changelog/2026-10-13-code-scanning-ai-scan-metrics-in-security-overview"/>
    <hyperlink ref="F42" r:id="rId38" display="https://www.sonarsource.com/company/press-releases/sonar-joins-openai-daybreak-cyber-partner-program/"/>
    <hyperlink ref="F43" r:id="rId39" display="https://docs.veracode.com/updates"/>
    <hyperlink ref="F44" r:id="rId40" display="https://github.blog/changelog/2026-10-13-improved-detection-for-withdrawn-dependabot-alerts"/>
    <hyperlink ref="F45" r:id="rId41" display="https://github.blog/changelog/2026-10-13-secret-scanning-blocks-anthropic-keys-by-default-adds-salesforce/"/>
    <hyperlink ref="F46" r:id="rId42" display="https://docs.veracode.com/updates/"/>
    <hyperlink ref="F47" r:id="rId43" display="https://docs.veracode.com/updates/r/c_all_int"/>
    <hyperlink ref="F48" r:id="rId44" display="https://github.blog/changelog/2026-10-13-secret-scanning-blocks-anthropic-keys-by-default-adds-salesforce"/>
    <hyperlink ref="F49" r:id="rId45" display="https://www.endorlabs.com/learn/endor-labs-and-bright-security-partner-to-close-the-gap-between-discovery-and-remediation"/>
    <hyperlink ref="F50" r:id="rId46" display="https://github.blog/changelog/2026-10-12-anonymous-organization-level-registries-for-dependabot"/>
    <hyperlink ref="F51" r:id="rId47" display="https://www.endorlabs.com/learn/endor-labs-and-bright-security-partner-to-close-the-gap-between-discovery-and-remediation"/>
    <hyperlink ref="F52" r:id="rId48" display="https://github.blog/changelog/2026-10-09-codeql-2-27-2-improves-c-go-rust-and-javascript-analysis"/>
    <hyperlink ref="F53" r:id="rId49" display="https://docs.gitguardian.com/releases/saas/2026/10/09/changelog"/>
    <hyperlink ref="F54" r:id="rId50" display="https://github.blog/changelog/2026-10-09-codeql-2-27-2-improves-c-go-rust-and-javascript-analysis"/>
    <hyperlink ref="F55" r:id="rId51" display="https://updates.snyk.io/announcing-snyk-cli-v1-1308-0/"/>
    <hyperlink ref="F56" r:id="rId52" display="https://corgea.com/blog/changelog-october-8-2026"/>
    <hyperlink ref="F57" r:id="rId53" display="https://corgea.com/blog/corgea-q3-2026-product-update"/>
    <hyperlink ref="F58" r:id="rId54" display="https://updates.snyk.io/announcing-snyk-cli-v1-1308-0/"/>
    <hyperlink ref="F59" r:id="rId55" display="https://updates.snyk.io/"/>
    <hyperlink ref="F60" r:id="rId56" display="https://updates.snyk.io/"/>
    <hyperlink ref="F61" r:id="rId57" display="https://updates.snyk.io/announcing-snyk-cli-v1-1308-0/"/>
    <hyperlink ref="F62" r:id="rId58" display="https://www.mend.io/blog/renovate-community-oss-plan-upgrades/"/>
    <hyperlink ref="F63" r:id="rId59" display="https://docs.gitguardian.com/releases/saas/2026/10/07/changelog"/>
    <hyperlink ref="F64" r:id="rId60" display="https://github.blog/changelog/2026-10-07-purpose-built-model-for-leaked-secret-detection/"/>
    <hyperlink ref="F65" r:id="rId61" display="https://socket.dev/blog/vscode-extensions"/>
    <hyperlink ref="F66" r:id="rId62" display="https://www.wiz.io/blog/introducing-wiz-ai-sast"/>
    <hyperlink ref="F67" r:id="rId63" display="https://github.blog/changelog/2026-10-05-secret-scanning-adds-detectors-for-lovable-supabase-and-more/"/>
    <hyperlink ref="F68" r:id="rId64" display="https://thehackernews.com/2026/10/gitlab-patches-critical-self-hosted-ai.html"/>
    <hyperlink ref="F69" r:id="rId65" display="https://github.com/cdxgen/cdxgen/releases/tag/v13.3.0"/>
    <hyperlink ref="F70" r:id="rId66" display="https://github.com/anchore/grype/releases/tag/v0.120.0"/>
    <hyperlink ref="F71" r:id="rId67" display="https://docs.convisoappsec.com/releases/2026-10-02-ai-pentest-assisted"/>
    <hyperlink ref="F72" r:id="rId68" display="https://github.blog/changelog/2026-10-01-scheduled-code-scanning-skips-inactive-repositories/"/>
    <hyperlink ref="F73" r:id="rId69" display="https://github.com/anchore/syft/releases/tag/v1.54.0"/>
    <hyperlink ref="F74" r:id="rId70" display="https://github.blog/changelog/2026-09-30-github-advanced-security-trials-for-github-team/"/>
    <hyperlink ref="F75" r:id="rId71" display="https://github.blog/changelog/2026-09-30-opt-in-dist-tag-permissions-for-npm-trusted-publishing/"/>
    <hyperlink ref="F76" r:id="rId72" display="https://docs.gitguardian.com/releases/saas/2026/09/30/changelog"/>
    <hyperlink ref="F77" r:id="rId73" display="https://github.blog/changelog/2026-09-30-github-advanced-security-trials-for-github-team"/>
    <hyperlink ref="F78" r:id="rId74" display="https://github.com/betterleaks/betterleaks/releases/tag/v2.0.0-rc.1"/>
    <hyperlink ref="F79" r:id="rId75" display="https://www.globenewswire.com/news-release/2026/09/30/3372222/0/en/legit-security-launches-agentic-remediation-for-open-source-dependency-vulnerabilities.html"/>
    <hyperlink ref="F80" r:id="rId76" display="https://github.com/chainloop-dev/chainloop/releases/tag/v1.112.0"/>
    <hyperlink ref="F81" r:id="rId77" display="https://www.legitsecurity.com/blog/agentic-remediation-just-got-bigger-now-fixing-vulnerabilities-in-your-dependencies-not-just-your-code"/>
    <hyperlink ref="F82" r:id="rId78" display="https://www.legitsecurity.com/blog/agentic-remediation-just-got-bigger-now-fixing-vulnerabilities-in-your-dependencies-not-just-your-code"/>
    <hyperlink ref="F83" r:id="rId79" display="https://www.sonarsource.com/company/press-releases/sonarqube-server-2026-5-lta-release/"/>
    <hyperlink ref="F84" r:id="rId80" display="https://help.hcl-software.com/appscan/ASoC/appseccloud_whats_new_cm.html"/>
    <hyperlink ref="F85" r:id="rId81" display="https://github.blog/changelog/2026-09-29-repository-custom-runner-settings-for-dependabot/"/>
    <hyperlink ref="F86" r:id="rId82" display="https://github.com/betterleaks/betterleaks/releases/tag/v1.9.0"/>
    <hyperlink ref="F87" r:id="rId83" display="https://cycode.com/blog/cycode-hugging-face/"/>
    <hyperlink ref="F88" r:id="rId84" display="https://www.nightfall.ai/news/nightfall-expands-its-integration-with-claudes-compliance-api-bringing-its-ai-native-dlp-to-claude-enterprise-and-claude-platform"/>
    <hyperlink ref="F89" r:id="rId85" display="https://help.hcl-software.com/appscan/ASoC/appseccloud_whats_new_cm.html"/>
    <hyperlink ref="F90" r:id="rId86" display="https://www.prnewswire.com/news-releases/invicti-named-a-leader-in-2026-idc-marketscape-for-dynamic-application-security-testing-302892339.html"/>
    <hyperlink ref="F91" r:id="rId87" display="https://docs.gitguardian.com/releases/saas/2026/09/28/changelog"/>
    <hyperlink ref="F92" r:id="rId88" display="https://www.prnewswire.com/news-releases/noma-extends-agent-security-and-governance-to-the-employee-endpoint-302890925.html"/>
    <hyperlink ref="F93" r:id="rId89" display="https://help.hcl-software.com/appscan/ASoC/appseccloud_whats_new_cm.html"/>
    <hyperlink ref="F94" r:id="rId90" display="https://docs.mend.io/platform/latest/mend-sca-release-notes"/>
    <hyperlink ref="F95" r:id="rId91" display="https://docs.jfrog.com/releases/docs/xray"/>
    <hyperlink ref="F96" r:id="rId92" display="https://docs.endorlabs.com/releasenotes/september-2026"/>
    <hyperlink ref="F97" r:id="rId93" display="https://help.hcl-software.com/appscan/ASoC/appseccloud_whats_new_cm.html"/>
    <hyperlink ref="F98" r:id="rId94" display="https://help.hcl-software.com/appscan/ASoC/appseccloud_whats_new_cm.html"/>
    <hyperlink ref="F99" r:id="rId95" display="https://docs.jfrog.com/releases/docs/xray"/>
    <hyperlink ref="F100" r:id="rId96" display="https://docs.endorlabs.com/releasenotes/september-2026"/>
    <hyperlink ref="F101" r:id="rId97" display="https://github.com/msaad00/agent-bom/releases"/>
    <hyperlink ref="F102" r:id="rId98" display="https://www.precogly.org/"/>
    <hyperlink ref="F103" r:id="rId99" display="https://www.ycombinator.com/companies/remy-security"/>
    <hyperlink ref="F104" r:id="rId100" display="https://help.hcl-software.com/appscan/ASoC/appseccloud_whats_new_cm.html"/>
    <hyperlink ref="F105" r:id="rId101" display="https://docs.endorlabs.com/releasenotes/september-2026"/>
    <hyperlink ref="F106" r:id="rId102" display="https://github.com/mrwadams/stride-gpt/releases/tag/v0.20.0"/>
    <hyperlink ref="F107" r:id="rId103" display="https://github.blog/changelog/2026-09-25-agentic-autofix-now-uses-copilot-memory"/>
    <hyperlink ref="F108" r:id="rId104" display="https://github.blog/changelog/2026-09-25-codeql-2-27-1-adds-c-and-c-query-and-kotlin-2-4-20-support"/>
    <hyperlink ref="F109" r:id="rId105" display="https://github.com/pmd/pmd/releases/tag/pmd_releases/7.28.0"/>
    <hyperlink ref="F110" r:id="rId106" display="https://docs.gitguardian.com/releases/saas/2026/09/25/changelog"/>
    <hyperlink ref="F111" r:id="rId107" display="https://docs.gitguardian.com/releases/self-hosted/2026-09-changelog"/>
    <hyperlink ref="F112" r:id="rId108" display="https://github.blog/changelog/2026-09-25-agentic-autofix-now-uses-copilot-memory"/>
    <hyperlink ref="F113" r:id="rId109" display="https://github.blog/changelog/2026-09-25-agentic-autofix-now-uses-copilot-memory"/>
    <hyperlink ref="F114" r:id="rId110" display="https://www.lineaje.com/post/frontier-defense-vulnerable-code-in-verified-patches-out"/>
    <hyperlink ref="F115" r:id="rId111" display="https://github.blog/changelog/2026-09-25-agentic-autofix-now-uses-copilot-memory/"/>
    <hyperlink ref="F116" r:id="rId112" display="https://github.blog/changelog/"/>
    <hyperlink ref="F117" r:id="rId113" display="https://semgrep.dev/blog/2026/introducing-malware-detection-and-response-automation"/>
    <hyperlink ref="F118" r:id="rId114" display="https://corgea.com/blog/changelog-september-24-2026"/>
    <hyperlink ref="F119" r:id="rId115" display="https://semgrep.dev/blog/2026/introducing-malware-detection-and-response-automation/"/>
    <hyperlink ref="F120" r:id="rId116" display="https://www.chainguard.dev/unchained/announcing-chainguards-industry-first-validated-fips-140-3-module-delivering-post-quantum-readiness"/>
    <hyperlink ref="F121" r:id="rId117" display="https://konvu.com/blog/from-vulnerability-finding-to-exploit-proof"/>
    <hyperlink ref="F122" r:id="rId118" display="https://blog.gitguardian.com/gitguardian-docker-sandbox-mixin-kit/"/>
    <hyperlink ref="F123" r:id="rId119" display="https://blog.gitguardian.com/gitguardian-docker-sandbox-mixin-kit/"/>
    <hyperlink ref="F124" r:id="rId120" display="https://github.com/GitGuardian/ggshield/releases/tag/v1.55.0"/>
    <hyperlink ref="F125" r:id="rId121" display="https://apiiro.com/blog/"/>
    <hyperlink ref="F126" r:id="rId122" display="https://www.wiz.io/blog/forrester-wave-for-proactive-security-2026"/>
    <hyperlink ref="F127" r:id="rId123" display="https://www.crowdstrike.com/en-us/blog/crowdstrike-named-leader-forrester-wave-proactive-security-platforms-q3-2026/"/>
    <hyperlink ref="F128" r:id="rId124" display="https://semgrep.dev/blog/2026/introducing-malware-detection-and-response-automation"/>
    <hyperlink ref="F129" r:id="rId125" display="https://corgea.com/blog/changelog-september-24-2026"/>
    <hyperlink ref="F130" r:id="rId126" display="https://docs.veracode.com/updates"/>
    <hyperlink ref="F131" r:id="rId127" display="https://updates.snyk.io/a-change-to-the-snyk-code-priority-score/"/>
    <hyperlink ref="F132" r:id="rId128" display="https://updates.snyk.io/ads-installer-now-available-as-a-packaged-binary/"/>
    <hyperlink ref="F133" r:id="rId129" display="https://updates.snyk.io/snyk-for-jira-moves-from-atlassian-connect-to-forge/"/>
    <hyperlink ref="F134" r:id="rId130" display="https://github.com/snyk/cli/releases/tag/v1.1307.4"/>
    <hyperlink ref="F135" r:id="rId131" display="https://docs.gitlab.com/releases/patches/patch-release-gitlab-19-4-1-released/"/>
    <hyperlink ref="F136" r:id="rId132" display="https://www.blackduck.com/blog/polaris-september-2026-update.html"/>
    <hyperlink ref="F137" r:id="rId133" display="https://www.globenewswire.com/news-release/2026/09/23/3367485/0/en/cycode-extends-its-adlc-security-capabilities-to-developers-workstations-stopping-software-supply-chain-attacks-before-they-start.html"/>
    <hyperlink ref="F138" r:id="rId134" display="https://cursor.com/changelog/rollouts-and-security-reviewer"/>
    <hyperlink ref="F139" r:id="rId135" display="https://updates.snyk.io/ads-installer-now-available-as-a-packaged-binary/"/>
    <hyperlink ref="F140" r:id="rId136" display="https://updates.snyk.io/snyk-for-jira-moves-from-atlassian-connect-to-forge/"/>
    <hyperlink ref="F141" r:id="rId137" display="https://github.com/snyk/cli/releases/tag/v1.1307.4"/>
    <hyperlink ref="F142" r:id="rId138" display="https://www.blackduck.com/blog/polaris-september-2026-update.html"/>
    <hyperlink ref="F143" r:id="rId139" display="https://docs.veracode.com/updates"/>
    <hyperlink ref="F144" r:id="rId140" display="https://www.globenewswire.com/news-release/2026/09/23/3367485/0/en/cycode-extends-its-adlc-security-capabilities-to-developers-workstations-stopping-software-supply-chain-attacks-before-they-start.html"/>
    <hyperlink ref="F145" r:id="rId141" display="https://www.globenewswire.com/news-release/2026/09/23/3367485/0/en/cycode-extends-its-adlc-security-capabilities-to-developers-workstations-stopping-software-supply-chain-attacks-before-they-start.html"/>
    <hyperlink ref="F146" r:id="rId142" display="https://docs.veracode.com/updates/r/c_all_static"/>
    <hyperlink ref="F147" r:id="rId143" display="https://www.blackduck.com/blog/polaris-september-2026-update.html"/>
    <hyperlink ref="F148" r:id="rId144" display="https://github.com/snyk/cli/releases/tag/v1.1307.4"/>
    <hyperlink ref="F149" r:id="rId145" display="https://www.blackduck.com/blog/polaris-september-2026-update.html"/>
    <hyperlink ref="F150" r:id="rId146" display="https://docs.veracode.com/updates/"/>
    <hyperlink ref="F151" r:id="rId147" display="https://www.devarmor.com/blog/migrating-from-iriusrisk-to-devarmor"/>
    <hyperlink ref="F152" r:id="rId148" display="https://www.primesec.ai/resources/code-volume-headcount-appsec-pricing"/>
    <hyperlink ref="F153" r:id="rId149" display="https://www.primesec.ai/resources/code-volume-headcount-appsec-pricing"/>
    <hyperlink ref="F154" r:id="rId150" display="https://updates.snyk.io/announcing-snyk-cli-v1-1307-4/"/>
    <hyperlink ref="F155" r:id="rId151" display="https://updates.snyk.io/ads-installer-now-available-as-a-packaged-binary/"/>
    <hyperlink ref="F156" r:id="rId152" display="https://updates.snyk.io/a-change-to-the-snyk-code-priority-score/"/>
    <hyperlink ref="F157" r:id="rId153" display="https://www.blackduck.com/blog/polaris-september-2026-update.html"/>
    <hyperlink ref="F158" r:id="rId154" display="https://docs.gitlab.com/releases/patches/patch-release-gitlab-19-4-1-released/"/>
    <hyperlink ref="F159" r:id="rId155" display="https://www.globenewswire.com/news-release/2026/09/23/3367485/0/en/cycode-extends-its-adlc-security-capabilities-to-developers-workstations-stopping-software-supply-chain-attacks-before-they-start.html"/>
    <hyperlink ref="F160" r:id="rId156" display="https://www.aikido.dev/blog/aikido-deel-partnership"/>
    <hyperlink ref="F161" r:id="rId157" display="https://securityboulevard.com/2026/09/aikido-altar-brings-glm-5-3-security-workloads-on-prem/"/>
    <hyperlink ref="F162" r:id="rId158" display="https://www.kodemsecurity.com/resources/kodem-joins-openai-daybreak-cyber-partner-program"/>
    <hyperlink ref="F163" r:id="rId159" display="https://snyk.io/blog/so-i-asked-my-agent-instead/"/>
    <hyperlink ref="F164" r:id="rId160" display="https://www.nightfall.ai/news/nightfall-ai-delivers-identity-aware-data-security-and-runtime-guardrails-for-ai-agents-with-expanded-okta-integration"/>
    <hyperlink ref="F165" r:id="rId161" display="https://github.com/CycloneDX/cdxgen/releases/tag/v13.2.0"/>
    <hyperlink ref="F166" r:id="rId162" display="https://www.sonatype.com/blog/sonatype-is-now-awardable-on-the-platform-one-solutions-marketplace"/>
    <hyperlink ref="F167" r:id="rId163" display="https://www.wiz.io/blog/wiz-mcp-agent-integrations"/>
    <hyperlink ref="F168" r:id="rId164" display="https://docs.defectdojo.com/releases/pro/changelog/"/>
    <hyperlink ref="F169" r:id="rId165" display="https://docs.semgrep.dev/release-notes/2026-09-21"/>
    <hyperlink ref="F170" r:id="rId166" display="https://www.aikido.dev/blog/aikido-altar-open-weight-ai-sovereign-security"/>
    <hyperlink ref="F171" r:id="rId167" display="https://github.blog/changelog/2026-09-21-github-enterprise-adds-credential-inventory-exports"/>
    <hyperlink ref="F172" r:id="rId168" display="https://www.aikido.dev/blog/aikido-altar-open-weight-ai-sovereign-security"/>
    <hyperlink ref="F173" r:id="rId169" display="https://developers.redhat.com/articles/2026/09/21/ai-threat-modeling-shouldnt-be-a-bottleneck-so-we-open-sourced-ours"/>
    <hyperlink ref="F174" r:id="rId170" display="https://www.aikido.dev/blog/aikido-altar-open-weight-ai-sovereign-security"/>
    <hyperlink ref="F175" r:id="rId171" display="https://phoenix.security/phoenix-cli-and-mcp-server/"/>
    <hyperlink ref="F176" r:id="rId172" display="https://docs.semgrep.dev/release-notes/"/>
    <hyperlink ref="F177" r:id="rId173" display="https://community.opentext.com/cybersec/fortify/w/tips/54207/fortify-code-security-extension-for-visual-studio-code-26-4-released"/>
    <hyperlink ref="F178" r:id="rId174" display="https://github.com/DependencyTrack/dependency-track/releases/tag/5.1.1"/>
    <hyperlink ref="F179" r:id="rId175" display="https://github.com/OWASP/cornucopia/releases/tag/v3.5.4"/>
    <hyperlink ref="F180" r:id="rId176" display="https://www.interlynk.io/resources/how-to-evaluate-an-sbom-generator-for-embedded-firmware"/>
    <hyperlink ref="F181" r:id="rId177" display="https://updates.snyk.io/"/>
    <hyperlink ref="F182" r:id="rId178" display="https://github.blog/changelog/2026-09-18-stage-only-npm-tokens-for-safer-automation"/>
    <hyperlink ref="F183" r:id="rId179" display="https://updates.snyk.io/evo-mcp-server-now-available/"/>
    <hyperlink ref="F184" r:id="rId180" display="https://github.blog/changelog/2026-09-18-stage-only-npm-tokens-for-safer-automation"/>
    <hyperlink ref="F185" r:id="rId181" display="https://github.com/kusari-oss/waybill/releases"/>
    <hyperlink ref="F186" r:id="rId182" display="https://github.com/msaad00/agent-bom/releases"/>
    <hyperlink ref="F187" r:id="rId183" display="https://updates.snyk.io/announcing-snyk-cli-v1-1307-3/"/>
    <hyperlink ref="F188" r:id="rId184" display="https://checkmarx.com/inside-checkmarx-triage-remediation-assist/"/>
    <hyperlink ref="F189" r:id="rId185" display="https://docs.gitlab.com/releases/19/gitlab-19-4-released/"/>
    <hyperlink ref="F190" r:id="rId186" display="https://corgea.com/blog/changelog-september-17-2026"/>
    <hyperlink ref="F191" r:id="rId187" display="https://docs.gitlab.com/releases/19/gitlab-19-4-released/"/>
    <hyperlink ref="F192" r:id="rId188" display="https://docs.gitlab.com/releases/19/gitlab-19-4-released/"/>
    <hyperlink ref="F193" r:id="rId189" display="https://www.globenewswire.com/news-release/2026/09/17/3363903/0/en/aikido-achieves-aws-security-competency-for-application-security.html"/>
    <hyperlink ref="F194" r:id="rId190" display="https://github.com/anchore/grype/releases"/>
    <hyperlink ref="F195" r:id="rId191" display="https://docs.gitlab.com/releases/19/gitlab-19-4-released/"/>
    <hyperlink ref="F196" r:id="rId192" display="https://github.com/anchore/syft/releases"/>
    <hyperlink ref="F197" r:id="rId193" display="https://github.com/anchore/grype/releases/tag/v0.119.0"/>
    <hyperlink ref="F198" r:id="rId194" display="https://docs.gitlab.com/releases/19/gitlab-19-4-released/"/>
    <hyperlink ref="F199" r:id="rId195" display="https://docs.gitlab.com/releases/19/gitlab-19-4-released/"/>
    <hyperlink ref="F200" r:id="rId196" display="https://docs.gitlab.com/releases/19/gitlab-19-4-released/"/>
    <hyperlink ref="F201" r:id="rId197" display="https://www.globenewswire.com/news-release/2026/09/17/3363903/0/en/aikido-achieves-aws-security-competency-for-application-security.html"/>
    <hyperlink ref="F202" r:id="rId198" display="https://corgea.com/blog/changelog-september-17-2026"/>
    <hyperlink ref="F203" r:id="rId199" display="https://github.blog/changelog/2026-09-16-code-scanning-ai-scan-no-longer-requires-codeql-default-setup"/>
    <hyperlink ref="F204" r:id="rId200" display="https://www.greptile.com/changelog"/>
    <hyperlink ref="F205" r:id="rId201" display="https://updates.snyk.io/"/>
    <hyperlink ref="F206" r:id="rId202" display="https://socket.dev/changelog/alert-event-data-older-than-1-year-will-age-out-starting-november-2026"/>
    <hyperlink ref="F207" r:id="rId203" display="https://github.com/Checkmarx/2ms/releases"/>
    <hyperlink ref="F208" r:id="rId204" display="https://docs.veracode.com/updates/r/c_all_static"/>
    <hyperlink ref="F209" r:id="rId205" display="https://docs.jfrog.com/releases/docs/xray"/>
    <hyperlink ref="F210" r:id="rId206" display="https://docs.devici.com/latest/release-notes/"/>
    <hyperlink ref="F211" r:id="rId207" display="https://www.prnewswire.com/news-releases/threatmodeler-achieves-fedramp-moderate-authorization-through-partnership-with-knox-systems-302880133.html"/>
    <hyperlink ref="F212" r:id="rId208" display="https://updates.snyk.io/custom-ca-certificate-support/"/>
    <hyperlink ref="F213" r:id="rId209" display="https://docs.veracode.com/updates/r/c_all_int"/>
    <hyperlink ref="F214" r:id="rId210" display="https://www.ox.security/blog/ox-security-launches-ox-cloud-ai-agent-security/"/>
    <hyperlink ref="F215" r:id="rId211" display="https://github.blog/changelog/2026-09-15-enforce-github-advanced-security-configurations"/>
    <hyperlink ref="F216" r:id="rId212" display="https://docs.coderabbit.ai/changelog"/>
    <hyperlink ref="F217" r:id="rId213" display="https://www.chainguard.dev/unchained/announcing-the-sovereign-artifacts-beta"/>
    <hyperlink ref="F218" r:id="rId214" display="https://blog.secureflag.com/2026/09/15/secureflag-mcp-server/"/>
    <hyperlink ref="F219" r:id="rId215" display="https://github.com/precogly/precogly/blob/main/CHANGELOG.md"/>
    <hyperlink ref="F220" r:id="rId216" display="https://github.com/snyk/user-docs/pull/1664"/>
    <hyperlink ref="F221" r:id="rId217" display="https://docs.semgrep.dev/release-notes/2026-09-14"/>
    <hyperlink ref="F222" r:id="rId218" display="https://docs.jfrog.com/releases/docs/xray"/>
    <hyperlink ref="F223" r:id="rId219" display="https://docs.semgrep.dev/release-notes/2026-09-14"/>
    <hyperlink ref="F224" r:id="rId220" display="https://github.com/google/osv-scanner/releases/tag/v2.6.0"/>
    <hyperlink ref="F225" r:id="rId221" display="https://docs.dependencytrack.org/changelog/"/>
    <hyperlink ref="F226" r:id="rId222" display="https://docs.gitguardian.com/releases/detection-engine/2026/09/14/changelog"/>
    <hyperlink ref="F227" r:id="rId223" display="https://docs.semgrep.dev/release-notes/"/>
    <hyperlink ref="F228" r:id="rId224" display="https://docs.dependencytrack.org/changelog/"/>
    <hyperlink ref="F229" r:id="rId225" display="https://www.threatmodeler.ai/resources/blog/threatmodeler-achieves-fedramp-moderate-authorization"/>
    <hyperlink ref="F230" r:id="rId226" display="https://docs.semgrep.dev/release-notes/2026-09-14"/>
    <hyperlink ref="F231" r:id="rId227" display="https://docs.defectdojo.com/releases/pro/changelog/"/>
    <hyperlink ref="F232" r:id="rId228" display="https://www.gitguardian.com/"/>
    <hyperlink ref="F233" r:id="rId229" display="https://jfrog.com/blog/"/>
    <hyperlink ref="F234" r:id="rId230" display="https://snyk.io/"/>
    <hyperlink ref="F235" r:id="rId231" display="https://checkmarx.com/"/>
    <hyperlink ref="F236" r:id="rId232" display="https://docs.snyk.i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4"/>
    <col collapsed="false" customWidth="true" hidden="false" outlineLevel="0" max="4" min="4" style="0" width="34"/>
    <col collapsed="false" customWidth="true" hidden="false" outlineLevel="0" max="5" min="5" style="0" width="36"/>
    <col collapsed="false" customWidth="true" hidden="false" outlineLevel="0" max="6" min="6" style="0" width="70"/>
    <col collapsed="false" customWidth="true" hidden="false" outlineLevel="0" max="7" min="7" style="0" width="60"/>
  </cols>
  <sheetData>
    <row r="1" customFormat="false" ht="19.7" hidden="false" customHeight="false" outlineLevel="0" collapsed="false">
      <c r="A1" s="1" t="s">
        <v>4186</v>
      </c>
    </row>
    <row r="2" customFormat="false" ht="15" hidden="false" customHeight="false" outlineLevel="0" collapsed="false">
      <c r="A2" s="2" t="s">
        <v>4187</v>
      </c>
    </row>
    <row r="4" customFormat="false" ht="31.5" hidden="false" customHeight="true" outlineLevel="0" collapsed="false">
      <c r="A4" s="7" t="s">
        <v>57</v>
      </c>
      <c r="B4" s="7" t="s">
        <v>4188</v>
      </c>
      <c r="C4" s="7" t="s">
        <v>4189</v>
      </c>
      <c r="D4" s="7" t="s">
        <v>4190</v>
      </c>
      <c r="E4" s="7" t="s">
        <v>4191</v>
      </c>
      <c r="F4" s="7" t="s">
        <v>4192</v>
      </c>
      <c r="G4" s="7" t="s">
        <v>4193</v>
      </c>
    </row>
    <row r="5" customFormat="false" ht="72.75" hidden="false" customHeight="true" outlineLevel="0" collapsed="false">
      <c r="A5" s="11" t="s">
        <v>30</v>
      </c>
      <c r="B5" s="8" t="s">
        <v>4194</v>
      </c>
      <c r="C5" s="11" t="s">
        <v>4195</v>
      </c>
      <c r="D5" s="11" t="s">
        <v>4196</v>
      </c>
      <c r="E5" s="17" t="s">
        <v>4197</v>
      </c>
      <c r="F5" s="11"/>
      <c r="G5" s="11" t="s">
        <v>4198</v>
      </c>
    </row>
    <row r="6" customFormat="false" ht="36" hidden="false" customHeight="true" outlineLevel="0" collapsed="false">
      <c r="A6" s="11" t="s">
        <v>30</v>
      </c>
      <c r="B6" s="8" t="s">
        <v>4199</v>
      </c>
      <c r="C6" s="11" t="s">
        <v>4200</v>
      </c>
      <c r="D6" s="11" t="s">
        <v>4201</v>
      </c>
      <c r="E6" s="17" t="s">
        <v>4202</v>
      </c>
      <c r="F6" s="11"/>
      <c r="G6" s="11" t="s">
        <v>4203</v>
      </c>
    </row>
    <row r="7" customFormat="false" ht="36" hidden="false" customHeight="true" outlineLevel="0" collapsed="false">
      <c r="A7" s="11" t="s">
        <v>30</v>
      </c>
      <c r="B7" s="8" t="s">
        <v>4204</v>
      </c>
      <c r="C7" s="11" t="s">
        <v>4205</v>
      </c>
      <c r="D7" s="11" t="s">
        <v>4206</v>
      </c>
      <c r="E7" s="17" t="s">
        <v>4207</v>
      </c>
      <c r="F7" s="11"/>
      <c r="G7" s="11" t="s">
        <v>4208</v>
      </c>
    </row>
    <row r="8" customFormat="false" ht="24" hidden="false" customHeight="true" outlineLevel="0" collapsed="false">
      <c r="A8" s="11" t="s">
        <v>30</v>
      </c>
      <c r="B8" s="8" t="s">
        <v>4209</v>
      </c>
      <c r="C8" s="11" t="s">
        <v>4210</v>
      </c>
      <c r="D8" s="11" t="s">
        <v>4211</v>
      </c>
      <c r="E8" s="17" t="s">
        <v>846</v>
      </c>
      <c r="F8" s="11"/>
      <c r="G8" s="11" t="s">
        <v>4212</v>
      </c>
    </row>
    <row r="9" customFormat="false" ht="36" hidden="false" customHeight="true" outlineLevel="0" collapsed="false">
      <c r="A9" s="11" t="s">
        <v>30</v>
      </c>
      <c r="B9" s="8" t="s">
        <v>4213</v>
      </c>
      <c r="C9" s="11" t="s">
        <v>4214</v>
      </c>
      <c r="D9" s="11" t="s">
        <v>4215</v>
      </c>
      <c r="E9" s="17" t="s">
        <v>4216</v>
      </c>
      <c r="F9" s="11"/>
      <c r="G9" s="11" t="s">
        <v>4217</v>
      </c>
    </row>
    <row r="10" customFormat="false" ht="36" hidden="false" customHeight="true" outlineLevel="0" collapsed="false">
      <c r="A10" s="11" t="s">
        <v>30</v>
      </c>
      <c r="B10" s="8" t="s">
        <v>4218</v>
      </c>
      <c r="C10" s="11" t="s">
        <v>4219</v>
      </c>
      <c r="D10" s="11" t="s">
        <v>4220</v>
      </c>
      <c r="E10" s="17" t="s">
        <v>1064</v>
      </c>
      <c r="F10" s="11"/>
      <c r="G10" s="11" t="s">
        <v>4221</v>
      </c>
    </row>
    <row r="11" customFormat="false" ht="72.75" hidden="false" customHeight="true" outlineLevel="0" collapsed="false">
      <c r="A11" s="11" t="s">
        <v>30</v>
      </c>
      <c r="B11" s="8" t="s">
        <v>4222</v>
      </c>
      <c r="C11" s="11"/>
      <c r="D11" s="11"/>
      <c r="E11" s="11"/>
      <c r="F11" s="11" t="s">
        <v>4223</v>
      </c>
      <c r="G11" s="11"/>
    </row>
    <row r="12" customFormat="false" ht="48.75" hidden="false" customHeight="true" outlineLevel="0" collapsed="false">
      <c r="A12" s="11" t="s">
        <v>32</v>
      </c>
      <c r="B12" s="8" t="s">
        <v>4224</v>
      </c>
      <c r="C12" s="11" t="s">
        <v>4225</v>
      </c>
      <c r="D12" s="11" t="s">
        <v>4226</v>
      </c>
      <c r="E12" s="11"/>
      <c r="F12" s="11" t="s">
        <v>4227</v>
      </c>
      <c r="G12" s="11" t="s">
        <v>4228</v>
      </c>
    </row>
    <row r="13" customFormat="false" ht="48.75" hidden="false" customHeight="true" outlineLevel="0" collapsed="false">
      <c r="A13" s="11" t="s">
        <v>32</v>
      </c>
      <c r="B13" s="8" t="s">
        <v>4229</v>
      </c>
      <c r="C13" s="11" t="s">
        <v>4230</v>
      </c>
      <c r="D13" s="11" t="s">
        <v>4231</v>
      </c>
      <c r="E13" s="11"/>
      <c r="F13" s="11" t="s">
        <v>4232</v>
      </c>
      <c r="G13" s="11" t="s">
        <v>4233</v>
      </c>
    </row>
    <row r="14" customFormat="false" ht="36" hidden="false" customHeight="true" outlineLevel="0" collapsed="false">
      <c r="A14" s="11" t="s">
        <v>32</v>
      </c>
      <c r="B14" s="8" t="s">
        <v>4234</v>
      </c>
      <c r="C14" s="11"/>
      <c r="D14" s="11"/>
      <c r="E14" s="11"/>
      <c r="F14" s="11" t="s">
        <v>4235</v>
      </c>
      <c r="G14" s="11" t="s">
        <v>4236</v>
      </c>
    </row>
    <row r="15" customFormat="false" ht="36" hidden="false" customHeight="true" outlineLevel="0" collapsed="false">
      <c r="A15" s="11" t="s">
        <v>32</v>
      </c>
      <c r="B15" s="8" t="s">
        <v>4237</v>
      </c>
      <c r="C15" s="11"/>
      <c r="D15" s="11"/>
      <c r="E15" s="11"/>
      <c r="F15" s="11" t="s">
        <v>4238</v>
      </c>
      <c r="G15" s="11" t="s">
        <v>4239</v>
      </c>
    </row>
    <row r="16" customFormat="false" ht="48.75" hidden="false" customHeight="true" outlineLevel="0" collapsed="false">
      <c r="A16" s="11" t="s">
        <v>32</v>
      </c>
      <c r="B16" s="8" t="s">
        <v>4240</v>
      </c>
      <c r="C16" s="11"/>
      <c r="D16" s="11"/>
      <c r="E16" s="11"/>
      <c r="F16" s="11" t="s">
        <v>4241</v>
      </c>
      <c r="G16" s="11" t="s">
        <v>4242</v>
      </c>
    </row>
    <row r="17" customFormat="false" ht="36" hidden="false" customHeight="true" outlineLevel="0" collapsed="false">
      <c r="A17" s="11" t="s">
        <v>34</v>
      </c>
      <c r="B17" s="8" t="s">
        <v>4243</v>
      </c>
      <c r="C17" s="11" t="s">
        <v>4244</v>
      </c>
      <c r="D17" s="11" t="s">
        <v>4245</v>
      </c>
      <c r="E17" s="17" t="s">
        <v>4246</v>
      </c>
      <c r="F17" s="11" t="s">
        <v>4247</v>
      </c>
      <c r="G17" s="11" t="s">
        <v>4248</v>
      </c>
    </row>
    <row r="18" customFormat="false" ht="48.75" hidden="false" customHeight="true" outlineLevel="0" collapsed="false">
      <c r="A18" s="11" t="s">
        <v>34</v>
      </c>
      <c r="B18" s="8" t="s">
        <v>4249</v>
      </c>
      <c r="C18" s="11" t="s">
        <v>4250</v>
      </c>
      <c r="D18" s="11" t="s">
        <v>4251</v>
      </c>
      <c r="E18" s="17" t="s">
        <v>4252</v>
      </c>
      <c r="F18" s="11" t="s">
        <v>4253</v>
      </c>
      <c r="G18" s="11" t="s">
        <v>4254</v>
      </c>
    </row>
    <row r="19" customFormat="false" ht="48.75" hidden="false" customHeight="true" outlineLevel="0" collapsed="false">
      <c r="A19" s="11" t="s">
        <v>34</v>
      </c>
      <c r="B19" s="8" t="s">
        <v>4255</v>
      </c>
      <c r="C19" s="11" t="s">
        <v>4256</v>
      </c>
      <c r="D19" s="11" t="s">
        <v>4257</v>
      </c>
      <c r="E19" s="17" t="s">
        <v>2869</v>
      </c>
      <c r="F19" s="11" t="s">
        <v>4258</v>
      </c>
      <c r="G19" s="11" t="s">
        <v>4259</v>
      </c>
    </row>
    <row r="20" customFormat="false" ht="60.75" hidden="false" customHeight="true" outlineLevel="0" collapsed="false">
      <c r="A20" s="11" t="s">
        <v>34</v>
      </c>
      <c r="B20" s="8" t="s">
        <v>4260</v>
      </c>
      <c r="C20" s="11" t="s">
        <v>4261</v>
      </c>
      <c r="D20" s="11" t="s">
        <v>4262</v>
      </c>
      <c r="E20" s="17" t="s">
        <v>4263</v>
      </c>
      <c r="F20" s="11" t="s">
        <v>4264</v>
      </c>
      <c r="G20" s="11" t="s">
        <v>4265</v>
      </c>
    </row>
    <row r="21" customFormat="false" ht="36" hidden="false" customHeight="true" outlineLevel="0" collapsed="false">
      <c r="A21" s="11" t="s">
        <v>34</v>
      </c>
      <c r="B21" s="8" t="s">
        <v>4266</v>
      </c>
      <c r="C21" s="11" t="s">
        <v>4267</v>
      </c>
      <c r="D21" s="11" t="s">
        <v>4268</v>
      </c>
      <c r="E21" s="17" t="s">
        <v>4269</v>
      </c>
      <c r="F21" s="11" t="s">
        <v>4270</v>
      </c>
      <c r="G21" s="11" t="s">
        <v>4271</v>
      </c>
    </row>
    <row r="22" customFormat="false" ht="133.5" hidden="false" customHeight="true" outlineLevel="0" collapsed="false">
      <c r="A22" s="11" t="s">
        <v>34</v>
      </c>
      <c r="B22" s="8" t="s">
        <v>4272</v>
      </c>
      <c r="C22" s="11" t="s">
        <v>4273</v>
      </c>
      <c r="D22" s="11"/>
      <c r="E22" s="11"/>
      <c r="F22" s="11"/>
      <c r="G22" s="11" t="s">
        <v>4274</v>
      </c>
    </row>
    <row r="23" customFormat="false" ht="97.5" hidden="false" customHeight="true" outlineLevel="0" collapsed="false">
      <c r="A23" s="11" t="s">
        <v>36</v>
      </c>
      <c r="B23" s="8" t="s">
        <v>4275</v>
      </c>
      <c r="C23" s="11" t="s">
        <v>4276</v>
      </c>
      <c r="D23" s="11" t="s">
        <v>4277</v>
      </c>
      <c r="E23" s="17" t="s">
        <v>4278</v>
      </c>
      <c r="F23" s="11" t="s">
        <v>4279</v>
      </c>
      <c r="G23" s="11" t="s">
        <v>4280</v>
      </c>
    </row>
    <row r="24" customFormat="false" ht="36" hidden="false" customHeight="true" outlineLevel="0" collapsed="false">
      <c r="A24" s="11" t="s">
        <v>36</v>
      </c>
      <c r="B24" s="8" t="s">
        <v>332</v>
      </c>
      <c r="C24" s="11" t="s">
        <v>4281</v>
      </c>
      <c r="D24" s="11" t="s">
        <v>4282</v>
      </c>
      <c r="E24" s="17" t="s">
        <v>1971</v>
      </c>
      <c r="F24" s="11" t="s">
        <v>4283</v>
      </c>
      <c r="G24" s="11" t="s">
        <v>4284</v>
      </c>
    </row>
    <row r="25" customFormat="false" ht="36" hidden="false" customHeight="true" outlineLevel="0" collapsed="false">
      <c r="A25" s="11" t="s">
        <v>36</v>
      </c>
      <c r="B25" s="8" t="s">
        <v>4285</v>
      </c>
      <c r="C25" s="11" t="s">
        <v>4286</v>
      </c>
      <c r="D25" s="11" t="s">
        <v>4287</v>
      </c>
      <c r="E25" s="17" t="s">
        <v>4288</v>
      </c>
      <c r="F25" s="11"/>
      <c r="G25" s="11" t="s">
        <v>4289</v>
      </c>
    </row>
    <row r="26" customFormat="false" ht="48.75" hidden="false" customHeight="true" outlineLevel="0" collapsed="false">
      <c r="A26" s="11" t="s">
        <v>36</v>
      </c>
      <c r="B26" s="8" t="s">
        <v>535</v>
      </c>
      <c r="C26" s="11" t="s">
        <v>4290</v>
      </c>
      <c r="D26" s="11" t="s">
        <v>4291</v>
      </c>
      <c r="E26" s="17" t="s">
        <v>1062</v>
      </c>
      <c r="F26" s="11"/>
      <c r="G26" s="11" t="s">
        <v>4292</v>
      </c>
    </row>
    <row r="27" customFormat="false" ht="48.75" hidden="false" customHeight="true" outlineLevel="0" collapsed="false">
      <c r="A27" s="11" t="s">
        <v>36</v>
      </c>
      <c r="B27" s="8" t="s">
        <v>4293</v>
      </c>
      <c r="C27" s="11" t="s">
        <v>4294</v>
      </c>
      <c r="D27" s="11"/>
      <c r="E27" s="17" t="s">
        <v>4295</v>
      </c>
      <c r="F27" s="11" t="s">
        <v>4296</v>
      </c>
      <c r="G27" s="11" t="s">
        <v>4297</v>
      </c>
    </row>
    <row r="28" customFormat="false" ht="36" hidden="false" customHeight="true" outlineLevel="0" collapsed="false">
      <c r="A28" s="11" t="s">
        <v>36</v>
      </c>
      <c r="B28" s="8" t="s">
        <v>4298</v>
      </c>
      <c r="C28" s="11" t="s">
        <v>4299</v>
      </c>
      <c r="D28" s="11" t="s">
        <v>4300</v>
      </c>
      <c r="E28" s="17" t="s">
        <v>4301</v>
      </c>
      <c r="F28" s="11"/>
      <c r="G28" s="11" t="s">
        <v>4302</v>
      </c>
    </row>
    <row r="29" customFormat="false" ht="60.75" hidden="false" customHeight="true" outlineLevel="0" collapsed="false">
      <c r="A29" s="11" t="s">
        <v>36</v>
      </c>
      <c r="B29" s="8" t="s">
        <v>4303</v>
      </c>
      <c r="C29" s="11" t="s">
        <v>4304</v>
      </c>
      <c r="D29" s="11" t="s">
        <v>4305</v>
      </c>
      <c r="E29" s="17" t="s">
        <v>1061</v>
      </c>
      <c r="F29" s="11"/>
      <c r="G29" s="11" t="s">
        <v>4306</v>
      </c>
    </row>
    <row r="30" customFormat="false" ht="24" hidden="false" customHeight="true" outlineLevel="0" collapsed="false">
      <c r="A30" s="11" t="s">
        <v>38</v>
      </c>
      <c r="B30" s="8" t="s">
        <v>2862</v>
      </c>
      <c r="C30" s="11" t="s">
        <v>4307</v>
      </c>
      <c r="D30" s="11" t="s">
        <v>4308</v>
      </c>
      <c r="E30" s="11"/>
      <c r="F30" s="11" t="s">
        <v>4309</v>
      </c>
      <c r="G30" s="11" t="s">
        <v>4310</v>
      </c>
    </row>
    <row r="31" customFormat="false" ht="36" hidden="false" customHeight="true" outlineLevel="0" collapsed="false">
      <c r="A31" s="11" t="s">
        <v>38</v>
      </c>
      <c r="B31" s="8" t="s">
        <v>4311</v>
      </c>
      <c r="C31" s="11" t="s">
        <v>4312</v>
      </c>
      <c r="D31" s="11" t="s">
        <v>4313</v>
      </c>
      <c r="E31" s="11"/>
      <c r="F31" s="11"/>
      <c r="G31" s="11" t="s">
        <v>4314</v>
      </c>
    </row>
    <row r="32" customFormat="false" ht="60.75" hidden="false" customHeight="true" outlineLevel="0" collapsed="false">
      <c r="A32" s="11" t="s">
        <v>38</v>
      </c>
      <c r="B32" s="8" t="s">
        <v>4315</v>
      </c>
      <c r="C32" s="11" t="s">
        <v>4316</v>
      </c>
      <c r="D32" s="11" t="s">
        <v>4317</v>
      </c>
      <c r="E32" s="11"/>
      <c r="F32" s="11"/>
      <c r="G32" s="11" t="s">
        <v>4318</v>
      </c>
    </row>
    <row r="33" customFormat="false" ht="60.75" hidden="false" customHeight="true" outlineLevel="0" collapsed="false">
      <c r="A33" s="11" t="s">
        <v>38</v>
      </c>
      <c r="B33" s="8" t="s">
        <v>4319</v>
      </c>
      <c r="C33" s="11" t="s">
        <v>4320</v>
      </c>
      <c r="D33" s="11" t="s">
        <v>4321</v>
      </c>
      <c r="E33" s="11"/>
      <c r="F33" s="11"/>
      <c r="G33" s="11" t="s">
        <v>4322</v>
      </c>
    </row>
    <row r="34" customFormat="false" ht="60.75" hidden="false" customHeight="true" outlineLevel="0" collapsed="false">
      <c r="A34" s="11" t="s">
        <v>38</v>
      </c>
      <c r="B34" s="8" t="s">
        <v>4323</v>
      </c>
      <c r="C34" s="11" t="s">
        <v>4324</v>
      </c>
      <c r="D34" s="11" t="s">
        <v>4325</v>
      </c>
      <c r="E34" s="11"/>
      <c r="F34" s="11"/>
      <c r="G34" s="11" t="s">
        <v>4326</v>
      </c>
    </row>
    <row r="35" customFormat="false" ht="60.75" hidden="false" customHeight="true" outlineLevel="0" collapsed="false">
      <c r="A35" s="11" t="s">
        <v>38</v>
      </c>
      <c r="B35" s="8" t="s">
        <v>4327</v>
      </c>
      <c r="C35" s="11" t="s">
        <v>4328</v>
      </c>
      <c r="D35" s="11" t="s">
        <v>4329</v>
      </c>
      <c r="E35" s="11"/>
      <c r="F35" s="11"/>
      <c r="G35" s="11" t="s">
        <v>4330</v>
      </c>
    </row>
    <row r="36" customFormat="false" ht="24" hidden="false" customHeight="true" outlineLevel="0" collapsed="false">
      <c r="A36" s="11" t="s">
        <v>38</v>
      </c>
      <c r="B36" s="8" t="s">
        <v>4331</v>
      </c>
      <c r="C36" s="11" t="s">
        <v>4332</v>
      </c>
      <c r="D36" s="11" t="s">
        <v>4333</v>
      </c>
      <c r="E36" s="11"/>
      <c r="F36" s="11"/>
      <c r="G36" s="11" t="s">
        <v>4334</v>
      </c>
    </row>
    <row r="37" customFormat="false" ht="60.75" hidden="false" customHeight="true" outlineLevel="0" collapsed="false">
      <c r="A37" s="11" t="s">
        <v>38</v>
      </c>
      <c r="B37" s="8" t="s">
        <v>4335</v>
      </c>
      <c r="C37" s="11" t="s">
        <v>4336</v>
      </c>
      <c r="D37" s="11" t="s">
        <v>4337</v>
      </c>
      <c r="E37" s="11"/>
      <c r="F37" s="11"/>
      <c r="G37" s="11" t="s">
        <v>4338</v>
      </c>
    </row>
    <row r="38" customFormat="false" ht="24" hidden="false" customHeight="true" outlineLevel="0" collapsed="false">
      <c r="A38" s="11" t="s">
        <v>38</v>
      </c>
      <c r="B38" s="8" t="s">
        <v>4339</v>
      </c>
      <c r="C38" s="11" t="s">
        <v>4340</v>
      </c>
      <c r="D38" s="11" t="s">
        <v>4341</v>
      </c>
      <c r="E38" s="11"/>
      <c r="F38" s="11"/>
      <c r="G38" s="11" t="s">
        <v>4342</v>
      </c>
    </row>
    <row r="39" customFormat="false" ht="36" hidden="false" customHeight="true" outlineLevel="0" collapsed="false">
      <c r="A39" s="11" t="s">
        <v>38</v>
      </c>
      <c r="B39" s="8" t="s">
        <v>4343</v>
      </c>
      <c r="C39" s="11" t="s">
        <v>4344</v>
      </c>
      <c r="D39" s="11" t="s">
        <v>4345</v>
      </c>
      <c r="E39" s="11"/>
      <c r="F39" s="11"/>
      <c r="G39" s="11" t="s">
        <v>4346</v>
      </c>
    </row>
    <row r="40" customFormat="false" ht="36" hidden="false" customHeight="true" outlineLevel="0" collapsed="false">
      <c r="A40" s="11" t="s">
        <v>38</v>
      </c>
      <c r="B40" s="8" t="s">
        <v>4347</v>
      </c>
      <c r="C40" s="11" t="s">
        <v>4348</v>
      </c>
      <c r="D40" s="11" t="s">
        <v>4349</v>
      </c>
      <c r="E40" s="11"/>
      <c r="F40" s="11"/>
      <c r="G40" s="11" t="s">
        <v>4350</v>
      </c>
    </row>
    <row r="41" customFormat="false" ht="36" hidden="false" customHeight="true" outlineLevel="0" collapsed="false">
      <c r="A41" s="11" t="s">
        <v>38</v>
      </c>
      <c r="B41" s="8" t="s">
        <v>4351</v>
      </c>
      <c r="C41" s="11" t="s">
        <v>4352</v>
      </c>
      <c r="D41" s="11" t="s">
        <v>4353</v>
      </c>
      <c r="E41" s="17" t="s">
        <v>4354</v>
      </c>
      <c r="F41" s="11"/>
      <c r="G41" s="11" t="s">
        <v>4355</v>
      </c>
    </row>
    <row r="42" customFormat="false" ht="84.75" hidden="false" customHeight="true" outlineLevel="0" collapsed="false">
      <c r="A42" s="11" t="s">
        <v>40</v>
      </c>
      <c r="B42" s="8" t="s">
        <v>4356</v>
      </c>
      <c r="C42" s="11" t="s">
        <v>4357</v>
      </c>
      <c r="D42" s="11" t="s">
        <v>4358</v>
      </c>
      <c r="E42" s="17" t="s">
        <v>3171</v>
      </c>
      <c r="F42" s="11" t="s">
        <v>4359</v>
      </c>
      <c r="G42" s="11" t="s">
        <v>4360</v>
      </c>
    </row>
    <row r="43" customFormat="false" ht="36" hidden="false" customHeight="true" outlineLevel="0" collapsed="false">
      <c r="A43" s="11" t="s">
        <v>40</v>
      </c>
      <c r="B43" s="8" t="s">
        <v>4361</v>
      </c>
      <c r="C43" s="11" t="s">
        <v>4357</v>
      </c>
      <c r="D43" s="11" t="s">
        <v>4362</v>
      </c>
      <c r="E43" s="17" t="s">
        <v>1123</v>
      </c>
      <c r="F43" s="11"/>
      <c r="G43" s="11" t="s">
        <v>4363</v>
      </c>
    </row>
    <row r="44" customFormat="false" ht="36" hidden="false" customHeight="true" outlineLevel="0" collapsed="false">
      <c r="A44" s="11" t="s">
        <v>40</v>
      </c>
      <c r="B44" s="8" t="s">
        <v>4364</v>
      </c>
      <c r="C44" s="11" t="s">
        <v>4357</v>
      </c>
      <c r="D44" s="11" t="s">
        <v>4365</v>
      </c>
      <c r="E44" s="17" t="s">
        <v>3189</v>
      </c>
      <c r="F44" s="11"/>
      <c r="G44" s="11" t="s">
        <v>4366</v>
      </c>
    </row>
    <row r="45" customFormat="false" ht="24" hidden="false" customHeight="true" outlineLevel="0" collapsed="false">
      <c r="A45" s="11" t="s">
        <v>40</v>
      </c>
      <c r="B45" s="8" t="s">
        <v>4367</v>
      </c>
      <c r="C45" s="11" t="s">
        <v>4368</v>
      </c>
      <c r="D45" s="11" t="s">
        <v>4369</v>
      </c>
      <c r="E45" s="17" t="s">
        <v>3319</v>
      </c>
      <c r="F45" s="11"/>
      <c r="G45" s="11" t="s">
        <v>4370</v>
      </c>
    </row>
    <row r="46" customFormat="false" ht="24" hidden="false" customHeight="true" outlineLevel="0" collapsed="false">
      <c r="A46" s="11" t="s">
        <v>40</v>
      </c>
      <c r="B46" s="8" t="s">
        <v>4371</v>
      </c>
      <c r="C46" s="11" t="s">
        <v>4372</v>
      </c>
      <c r="D46" s="11" t="s">
        <v>4373</v>
      </c>
      <c r="E46" s="17" t="s">
        <v>4374</v>
      </c>
      <c r="F46" s="11"/>
      <c r="G46" s="11" t="s">
        <v>4375</v>
      </c>
    </row>
    <row r="47" customFormat="false" ht="36" hidden="false" customHeight="true" outlineLevel="0" collapsed="false">
      <c r="A47" s="11" t="s">
        <v>40</v>
      </c>
      <c r="B47" s="8" t="s">
        <v>4376</v>
      </c>
      <c r="C47" s="11" t="s">
        <v>4377</v>
      </c>
      <c r="D47" s="11" t="s">
        <v>4378</v>
      </c>
      <c r="E47" s="17" t="s">
        <v>3329</v>
      </c>
      <c r="F47" s="11"/>
      <c r="G47" s="11" t="s">
        <v>4379</v>
      </c>
    </row>
    <row r="48" customFormat="false" ht="24" hidden="false" customHeight="true" outlineLevel="0" collapsed="false">
      <c r="A48" s="11" t="s">
        <v>40</v>
      </c>
      <c r="B48" s="8" t="s">
        <v>4380</v>
      </c>
      <c r="C48" s="11" t="s">
        <v>4381</v>
      </c>
      <c r="D48" s="11" t="s">
        <v>4382</v>
      </c>
      <c r="E48" s="17" t="s">
        <v>1119</v>
      </c>
      <c r="F48" s="11"/>
      <c r="G48" s="11" t="s">
        <v>4383</v>
      </c>
    </row>
    <row r="49" customFormat="false" ht="36" hidden="false" customHeight="true" outlineLevel="0" collapsed="false">
      <c r="A49" s="11" t="s">
        <v>40</v>
      </c>
      <c r="B49" s="8" t="s">
        <v>4384</v>
      </c>
      <c r="C49" s="11" t="s">
        <v>4385</v>
      </c>
      <c r="D49" s="11" t="s">
        <v>4386</v>
      </c>
      <c r="E49" s="17" t="s">
        <v>4387</v>
      </c>
      <c r="F49" s="11" t="s">
        <v>4388</v>
      </c>
      <c r="G49" s="11" t="s">
        <v>4389</v>
      </c>
    </row>
    <row r="50" customFormat="false" ht="24" hidden="false" customHeight="true" outlineLevel="0" collapsed="false">
      <c r="A50" s="11" t="s">
        <v>40</v>
      </c>
      <c r="B50" s="8" t="s">
        <v>4390</v>
      </c>
      <c r="C50" s="11" t="s">
        <v>4385</v>
      </c>
      <c r="D50" s="11" t="s">
        <v>4391</v>
      </c>
      <c r="E50" s="17" t="s">
        <v>2869</v>
      </c>
      <c r="F50" s="11"/>
      <c r="G50" s="11" t="s">
        <v>4392</v>
      </c>
    </row>
    <row r="51" customFormat="false" ht="24" hidden="false" customHeight="true" outlineLevel="0" collapsed="false">
      <c r="A51" s="11" t="s">
        <v>40</v>
      </c>
      <c r="B51" s="8" t="s">
        <v>4339</v>
      </c>
      <c r="C51" s="11" t="s">
        <v>4393</v>
      </c>
      <c r="D51" s="11" t="s">
        <v>4394</v>
      </c>
      <c r="E51" s="17" t="s">
        <v>1062</v>
      </c>
      <c r="F51" s="11"/>
      <c r="G51" s="11" t="s">
        <v>4395</v>
      </c>
    </row>
    <row r="52" customFormat="false" ht="24" hidden="false" customHeight="true" outlineLevel="0" collapsed="false">
      <c r="A52" s="11" t="s">
        <v>40</v>
      </c>
      <c r="B52" s="8" t="s">
        <v>4396</v>
      </c>
      <c r="C52" s="11" t="s">
        <v>4397</v>
      </c>
      <c r="D52" s="11" t="s">
        <v>4398</v>
      </c>
      <c r="E52" s="17" t="s">
        <v>4399</v>
      </c>
      <c r="F52" s="11"/>
      <c r="G52" s="11" t="s">
        <v>4400</v>
      </c>
    </row>
    <row r="53" customFormat="false" ht="97.5" hidden="false" customHeight="true" outlineLevel="0" collapsed="false">
      <c r="A53" s="11" t="s">
        <v>42</v>
      </c>
      <c r="B53" s="8" t="s">
        <v>4401</v>
      </c>
      <c r="C53" s="11" t="s">
        <v>4402</v>
      </c>
      <c r="D53" s="11" t="s">
        <v>4403</v>
      </c>
      <c r="E53" s="11"/>
      <c r="F53" s="11" t="s">
        <v>4404</v>
      </c>
      <c r="G53" s="11" t="s">
        <v>4405</v>
      </c>
    </row>
    <row r="54" customFormat="false" ht="36" hidden="false" customHeight="true" outlineLevel="0" collapsed="false">
      <c r="A54" s="11" t="s">
        <v>42</v>
      </c>
      <c r="B54" s="8" t="s">
        <v>4266</v>
      </c>
      <c r="C54" s="11" t="s">
        <v>4406</v>
      </c>
      <c r="D54" s="11" t="s">
        <v>4407</v>
      </c>
      <c r="E54" s="11"/>
      <c r="F54" s="11" t="s">
        <v>4408</v>
      </c>
      <c r="G54" s="11" t="s">
        <v>4409</v>
      </c>
    </row>
    <row r="55" customFormat="false" ht="36" hidden="false" customHeight="true" outlineLevel="0" collapsed="false">
      <c r="A55" s="11" t="s">
        <v>42</v>
      </c>
      <c r="B55" s="8" t="s">
        <v>4367</v>
      </c>
      <c r="C55" s="11" t="s">
        <v>4410</v>
      </c>
      <c r="D55" s="11" t="s">
        <v>4411</v>
      </c>
      <c r="E55" s="11"/>
      <c r="F55" s="11" t="s">
        <v>4412</v>
      </c>
      <c r="G55" s="11" t="s">
        <v>4413</v>
      </c>
    </row>
    <row r="56" customFormat="false" ht="72.75" hidden="false" customHeight="true" outlineLevel="0" collapsed="false">
      <c r="A56" s="11" t="s">
        <v>42</v>
      </c>
      <c r="B56" s="8" t="s">
        <v>4414</v>
      </c>
      <c r="C56" s="11" t="s">
        <v>4415</v>
      </c>
      <c r="D56" s="11" t="s">
        <v>4416</v>
      </c>
      <c r="E56" s="11"/>
      <c r="F56" s="11" t="s">
        <v>4417</v>
      </c>
      <c r="G56" s="11" t="s">
        <v>4418</v>
      </c>
    </row>
    <row r="57" customFormat="false" ht="146.25" hidden="false" customHeight="true" outlineLevel="0" collapsed="false">
      <c r="A57" s="11" t="s">
        <v>42</v>
      </c>
      <c r="B57" s="8" t="s">
        <v>4384</v>
      </c>
      <c r="C57" s="11" t="s">
        <v>4419</v>
      </c>
      <c r="D57" s="11" t="s">
        <v>4420</v>
      </c>
      <c r="E57" s="11"/>
      <c r="F57" s="11" t="s">
        <v>4421</v>
      </c>
      <c r="G57" s="11" t="s">
        <v>4422</v>
      </c>
    </row>
    <row r="58" customFormat="false" ht="48.75" hidden="false" customHeight="true" outlineLevel="0" collapsed="false">
      <c r="A58" s="11" t="s">
        <v>42</v>
      </c>
      <c r="B58" s="8" t="s">
        <v>4423</v>
      </c>
      <c r="C58" s="11" t="s">
        <v>4424</v>
      </c>
      <c r="D58" s="11" t="s">
        <v>4425</v>
      </c>
      <c r="E58" s="11"/>
      <c r="F58" s="11" t="s">
        <v>4426</v>
      </c>
      <c r="G58" s="11" t="s">
        <v>4427</v>
      </c>
    </row>
    <row r="59" customFormat="false" ht="84.75" hidden="false" customHeight="true" outlineLevel="0" collapsed="false">
      <c r="A59" s="11" t="s">
        <v>42</v>
      </c>
      <c r="B59" s="8" t="s">
        <v>4428</v>
      </c>
      <c r="C59" s="11" t="s">
        <v>4429</v>
      </c>
      <c r="D59" s="11" t="s">
        <v>4430</v>
      </c>
      <c r="E59" s="11"/>
      <c r="F59" s="11" t="s">
        <v>4431</v>
      </c>
      <c r="G59" s="11" t="s">
        <v>4432</v>
      </c>
    </row>
    <row r="60" customFormat="false" ht="36" hidden="false" customHeight="true" outlineLevel="0" collapsed="false">
      <c r="A60" s="11" t="s">
        <v>42</v>
      </c>
      <c r="B60" s="8" t="s">
        <v>4433</v>
      </c>
      <c r="C60" s="11" t="s">
        <v>4385</v>
      </c>
      <c r="D60" s="11" t="s">
        <v>4434</v>
      </c>
      <c r="E60" s="11"/>
      <c r="F60" s="11" t="s">
        <v>4435</v>
      </c>
      <c r="G60" s="11" t="s">
        <v>4436</v>
      </c>
    </row>
    <row r="61" customFormat="false" ht="133.5" hidden="false" customHeight="true" outlineLevel="0" collapsed="false">
      <c r="A61" s="11" t="s">
        <v>42</v>
      </c>
      <c r="B61" s="8" t="s">
        <v>4437</v>
      </c>
      <c r="C61" s="11" t="s">
        <v>4261</v>
      </c>
      <c r="D61" s="11" t="s">
        <v>4438</v>
      </c>
      <c r="E61" s="11"/>
      <c r="F61" s="11" t="s">
        <v>4439</v>
      </c>
      <c r="G61" s="11" t="s">
        <v>4440</v>
      </c>
    </row>
  </sheetData>
  <autoFilter ref="A4:G61"/>
  <hyperlinks>
    <hyperlink ref="E5" r:id="rId1" display="https://owasp.org/www-project-benchmark/"/>
    <hyperlink ref="E6" r:id="rId2" display="https://owasp.org/www-community/Source_Code_Analysis_Tools"/>
    <hyperlink ref="E7" r:id="rId3" display="https://github.com/OWASP/ASST"/>
    <hyperlink ref="E8" r:id="rId4" display="https://find-sec-bugs.github.io/"/>
    <hyperlink ref="E9" r:id="rId5" display="https://owasp.org/www-project-application-security-verification-standard/"/>
    <hyperlink ref="E10" r:id="rId6" display="https://genai.owasp.org/"/>
    <hyperlink ref="E17" r:id="rId7" display="https://cheatsheetseries.owasp.org/cheatsheets/Secrets_Management_Cheat_Sheet.html"/>
    <hyperlink ref="E18" r:id="rId8" display="https://owasp.org/www-project-non-human-identities-top-10/"/>
    <hyperlink ref="E19" r:id="rId9" display="https://genai.owasp.org/llm-top-10/"/>
    <hyperlink ref="E20" r:id="rId10" display="https://github.com/OWASP/ASVS/releases"/>
    <hyperlink ref="E21" r:id="rId11" display="https://owasp.org/www-project-devsecops-guideline/"/>
    <hyperlink ref="E23" r:id="rId12" display="https://cyclonedx.org/"/>
    <hyperlink ref="E24" r:id="rId13" display="https://dependencytrack.org/"/>
    <hyperlink ref="E25" r:id="rId14" display="https://scvs.owasp.org/"/>
    <hyperlink ref="E26" r:id="rId15" display="https://owaspai.org/"/>
    <hyperlink ref="E27" r:id="rId16" display="https://genai.owasp.org/llmrisk/llm032025-supply-chain/"/>
    <hyperlink ref="E28" r:id="rId17" display="https://genai.owasp.org/initiatives/"/>
    <hyperlink ref="E29" r:id="rId18" display="https://genai.owasp.org/initiatives/agentic-security-initiative/"/>
    <hyperlink ref="E41" r:id="rId19" display="https://github.com/OWASP/Precogly"/>
    <hyperlink ref="E42" r:id="rId20" display="https://github.com/OWASP/ASVS"/>
    <hyperlink ref="E43" r:id="rId21" display="https://mas.owasp.org/"/>
    <hyperlink ref="E44" r:id="rId22" display="https://owaspsamm.org/"/>
    <hyperlink ref="E45" r:id="rId23" display="https://dsomm.owasp.org/"/>
    <hyperlink ref="E46" r:id="rId24" display="https://top10proactive.owasp.org/"/>
    <hyperlink ref="E47" r:id="rId25" display="https://securityrat.org/"/>
    <hyperlink ref="E48" r:id="rId26" display="https://cheatsheetseries.owasp.org/"/>
    <hyperlink ref="E49" r:id="rId27" display="https://top10.owasp.org/2025/"/>
    <hyperlink ref="E50" r:id="rId28" display="https://genai.owasp.org/llm-top-10/"/>
    <hyperlink ref="E51" r:id="rId29" display="https://owaspai.org/"/>
    <hyperlink ref="E52" r:id="rId30" display="https://owasp.org/www-project-security-champions-guideboo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20"/>
    <col collapsed="false" customWidth="true" hidden="false" outlineLevel="0" max="4" min="4" style="0" width="40"/>
    <col collapsed="false" customWidth="true" hidden="false" outlineLevel="0" max="5" min="5" style="0" width="80"/>
    <col collapsed="false" customWidth="true" hidden="false" outlineLevel="0" max="6" min="6" style="0" width="14"/>
    <col collapsed="false" customWidth="true" hidden="false" outlineLevel="0" max="7" min="7" style="0" width="12"/>
  </cols>
  <sheetData>
    <row r="1" customFormat="false" ht="19.7" hidden="false" customHeight="false" outlineLevel="0" collapsed="false">
      <c r="A1" s="1" t="s">
        <v>4441</v>
      </c>
    </row>
    <row r="2" customFormat="false" ht="15" hidden="false" customHeight="false" outlineLevel="0" collapsed="false">
      <c r="A2" s="2" t="s">
        <v>4442</v>
      </c>
    </row>
    <row r="4" customFormat="false" ht="31.5" hidden="false" customHeight="true" outlineLevel="0" collapsed="false">
      <c r="A4" s="7" t="s">
        <v>57</v>
      </c>
      <c r="B4" s="7" t="s">
        <v>69</v>
      </c>
      <c r="C4" s="7" t="s">
        <v>167</v>
      </c>
      <c r="D4" s="7" t="s">
        <v>4443</v>
      </c>
      <c r="E4" s="7" t="s">
        <v>4444</v>
      </c>
      <c r="F4" s="7" t="s">
        <v>155</v>
      </c>
      <c r="G4" s="7" t="s">
        <v>4445</v>
      </c>
    </row>
    <row r="5" customFormat="false" ht="24" hidden="false" customHeight="true" outlineLevel="0" collapsed="false">
      <c r="A5" s="11" t="s">
        <v>30</v>
      </c>
      <c r="B5" s="8" t="s">
        <v>184</v>
      </c>
      <c r="C5" s="11" t="s">
        <v>185</v>
      </c>
      <c r="D5" s="17" t="s">
        <v>785</v>
      </c>
      <c r="E5" s="11" t="s">
        <v>4446</v>
      </c>
      <c r="F5" s="11" t="s">
        <v>181</v>
      </c>
      <c r="G5" s="11" t="s">
        <v>1276</v>
      </c>
    </row>
    <row r="6" customFormat="false" ht="24" hidden="false" customHeight="true" outlineLevel="0" collapsed="false">
      <c r="A6" s="11" t="s">
        <v>30</v>
      </c>
      <c r="B6" s="8" t="s">
        <v>190</v>
      </c>
      <c r="C6" s="11" t="s">
        <v>191</v>
      </c>
      <c r="D6" s="17" t="s">
        <v>793</v>
      </c>
      <c r="E6" s="11" t="s">
        <v>4447</v>
      </c>
      <c r="F6" s="11" t="s">
        <v>181</v>
      </c>
      <c r="G6" s="11" t="s">
        <v>1276</v>
      </c>
    </row>
    <row r="7" customFormat="false" ht="24" hidden="false" customHeight="true" outlineLevel="0" collapsed="false">
      <c r="A7" s="11" t="s">
        <v>30</v>
      </c>
      <c r="B7" s="8" t="s">
        <v>195</v>
      </c>
      <c r="C7" s="11" t="s">
        <v>196</v>
      </c>
      <c r="D7" s="17" t="s">
        <v>1349</v>
      </c>
      <c r="E7" s="11" t="s">
        <v>4448</v>
      </c>
      <c r="F7" s="11" t="s">
        <v>181</v>
      </c>
      <c r="G7" s="11" t="s">
        <v>1276</v>
      </c>
    </row>
    <row r="8" customFormat="false" ht="97.5" hidden="false" customHeight="true" outlineLevel="0" collapsed="false">
      <c r="A8" s="11" t="s">
        <v>30</v>
      </c>
      <c r="B8" s="8" t="s">
        <v>198</v>
      </c>
      <c r="C8" s="11" t="s">
        <v>86</v>
      </c>
      <c r="D8" s="17" t="s">
        <v>1371</v>
      </c>
      <c r="E8" s="11" t="s">
        <v>4449</v>
      </c>
      <c r="F8" s="11" t="s">
        <v>200</v>
      </c>
      <c r="G8" s="11" t="s">
        <v>1276</v>
      </c>
    </row>
    <row r="9" customFormat="false" ht="24" hidden="false" customHeight="true" outlineLevel="0" collapsed="false">
      <c r="A9" s="11" t="s">
        <v>30</v>
      </c>
      <c r="B9" s="8" t="s">
        <v>204</v>
      </c>
      <c r="C9" s="11" t="s">
        <v>205</v>
      </c>
      <c r="D9" s="17" t="s">
        <v>1397</v>
      </c>
      <c r="E9" s="11" t="s">
        <v>4450</v>
      </c>
      <c r="F9" s="11" t="s">
        <v>181</v>
      </c>
      <c r="G9" s="11" t="s">
        <v>1276</v>
      </c>
    </row>
    <row r="10" customFormat="false" ht="24" hidden="false" customHeight="true" outlineLevel="0" collapsed="false">
      <c r="A10" s="11" t="s">
        <v>30</v>
      </c>
      <c r="B10" s="8" t="s">
        <v>213</v>
      </c>
      <c r="C10" s="11" t="s">
        <v>214</v>
      </c>
      <c r="D10" s="17" t="s">
        <v>815</v>
      </c>
      <c r="E10" s="11" t="s">
        <v>4451</v>
      </c>
      <c r="F10" s="11" t="s">
        <v>181</v>
      </c>
      <c r="G10" s="11" t="s">
        <v>1276</v>
      </c>
    </row>
    <row r="11" customFormat="false" ht="15" hidden="false" customHeight="true" outlineLevel="0" collapsed="false">
      <c r="A11" s="11" t="s">
        <v>30</v>
      </c>
      <c r="B11" s="8" t="s">
        <v>228</v>
      </c>
      <c r="C11" s="11" t="s">
        <v>229</v>
      </c>
      <c r="D11" s="17" t="s">
        <v>1221</v>
      </c>
      <c r="E11" s="11" t="s">
        <v>4452</v>
      </c>
      <c r="F11" s="11" t="s">
        <v>181</v>
      </c>
      <c r="G11" s="11" t="s">
        <v>1276</v>
      </c>
    </row>
    <row r="12" customFormat="false" ht="60.75" hidden="false" customHeight="true" outlineLevel="0" collapsed="false">
      <c r="A12" s="11" t="s">
        <v>30</v>
      </c>
      <c r="B12" s="8" t="s">
        <v>245</v>
      </c>
      <c r="C12" s="11" t="s">
        <v>246</v>
      </c>
      <c r="D12" s="17" t="s">
        <v>840</v>
      </c>
      <c r="E12" s="11" t="s">
        <v>4453</v>
      </c>
      <c r="F12" s="11" t="s">
        <v>233</v>
      </c>
      <c r="G12" s="11" t="s">
        <v>1276</v>
      </c>
    </row>
    <row r="13" customFormat="false" ht="24" hidden="false" customHeight="true" outlineLevel="0" collapsed="false">
      <c r="A13" s="11" t="s">
        <v>32</v>
      </c>
      <c r="B13" s="8" t="s">
        <v>262</v>
      </c>
      <c r="C13" s="11" t="s">
        <v>263</v>
      </c>
      <c r="D13" s="17" t="s">
        <v>1632</v>
      </c>
      <c r="E13" s="11" t="s">
        <v>1640</v>
      </c>
      <c r="F13" s="11" t="s">
        <v>264</v>
      </c>
      <c r="G13" s="11" t="s">
        <v>1276</v>
      </c>
    </row>
    <row r="14" customFormat="false" ht="36" hidden="false" customHeight="true" outlineLevel="0" collapsed="false">
      <c r="A14" s="11" t="s">
        <v>32</v>
      </c>
      <c r="B14" s="8" t="s">
        <v>273</v>
      </c>
      <c r="C14" s="11" t="s">
        <v>274</v>
      </c>
      <c r="D14" s="17" t="s">
        <v>1704</v>
      </c>
      <c r="E14" s="11" t="s">
        <v>1712</v>
      </c>
      <c r="F14" s="11" t="s">
        <v>275</v>
      </c>
      <c r="G14" s="11" t="s">
        <v>1276</v>
      </c>
    </row>
    <row r="15" customFormat="false" ht="48.75" hidden="false" customHeight="true" outlineLevel="0" collapsed="false">
      <c r="A15" s="11" t="s">
        <v>32</v>
      </c>
      <c r="B15" s="8" t="s">
        <v>287</v>
      </c>
      <c r="C15" s="11" t="s">
        <v>288</v>
      </c>
      <c r="D15" s="17" t="s">
        <v>1777</v>
      </c>
      <c r="E15" s="11" t="s">
        <v>1784</v>
      </c>
      <c r="F15" s="11" t="s">
        <v>289</v>
      </c>
      <c r="G15" s="11" t="s">
        <v>1276</v>
      </c>
    </row>
    <row r="16" customFormat="false" ht="15" hidden="false" customHeight="true" outlineLevel="0" collapsed="false">
      <c r="A16" s="11" t="s">
        <v>32</v>
      </c>
      <c r="B16" s="8" t="s">
        <v>334</v>
      </c>
      <c r="C16" s="11" t="s">
        <v>335</v>
      </c>
      <c r="D16" s="17" t="s">
        <v>908</v>
      </c>
      <c r="E16" s="11" t="s">
        <v>1989</v>
      </c>
      <c r="F16" s="11" t="s">
        <v>181</v>
      </c>
      <c r="G16" s="11" t="s">
        <v>1276</v>
      </c>
    </row>
    <row r="17" customFormat="false" ht="24" hidden="false" customHeight="true" outlineLevel="0" collapsed="false">
      <c r="A17" s="11" t="s">
        <v>34</v>
      </c>
      <c r="B17" s="8" t="s">
        <v>353</v>
      </c>
      <c r="C17" s="11" t="s">
        <v>354</v>
      </c>
      <c r="D17" s="17" t="s">
        <v>2051</v>
      </c>
      <c r="E17" s="11" t="s">
        <v>2058</v>
      </c>
      <c r="F17" s="11" t="s">
        <v>355</v>
      </c>
      <c r="G17" s="11" t="s">
        <v>1276</v>
      </c>
    </row>
    <row r="18" customFormat="false" ht="36" hidden="false" customHeight="true" outlineLevel="0" collapsed="false">
      <c r="A18" s="11" t="s">
        <v>34</v>
      </c>
      <c r="B18" s="8" t="s">
        <v>395</v>
      </c>
      <c r="C18" s="11" t="s">
        <v>396</v>
      </c>
      <c r="D18" s="17" t="s">
        <v>2222</v>
      </c>
      <c r="E18" s="11" t="s">
        <v>2229</v>
      </c>
      <c r="F18" s="11" t="s">
        <v>398</v>
      </c>
      <c r="G18" s="11" t="s">
        <v>1276</v>
      </c>
    </row>
    <row r="19" customFormat="false" ht="24" hidden="false" customHeight="true" outlineLevel="0" collapsed="false">
      <c r="A19" s="11" t="s">
        <v>36</v>
      </c>
      <c r="B19" s="8" t="s">
        <v>263</v>
      </c>
      <c r="C19" s="11" t="s">
        <v>412</v>
      </c>
      <c r="D19" s="17" t="s">
        <v>2286</v>
      </c>
      <c r="E19" s="11" t="s">
        <v>2293</v>
      </c>
      <c r="F19" s="11" t="s">
        <v>413</v>
      </c>
      <c r="G19" s="11" t="s">
        <v>1276</v>
      </c>
    </row>
    <row r="20" customFormat="false" ht="15" hidden="false" customHeight="true" outlineLevel="0" collapsed="false">
      <c r="A20" s="11" t="s">
        <v>36</v>
      </c>
      <c r="B20" s="8" t="s">
        <v>441</v>
      </c>
      <c r="C20" s="11" t="s">
        <v>441</v>
      </c>
      <c r="D20" s="17" t="s">
        <v>990</v>
      </c>
      <c r="E20" s="11" t="s">
        <v>2471</v>
      </c>
      <c r="F20" s="11" t="s">
        <v>181</v>
      </c>
      <c r="G20" s="11" t="s">
        <v>1276</v>
      </c>
    </row>
    <row r="21" customFormat="false" ht="15" hidden="false" customHeight="true" outlineLevel="0" collapsed="false">
      <c r="A21" s="11" t="s">
        <v>36</v>
      </c>
      <c r="B21" s="8" t="s">
        <v>442</v>
      </c>
      <c r="C21" s="11" t="s">
        <v>443</v>
      </c>
      <c r="D21" s="17" t="s">
        <v>992</v>
      </c>
      <c r="E21" s="11" t="s">
        <v>2480</v>
      </c>
      <c r="F21" s="11" t="s">
        <v>181</v>
      </c>
      <c r="G21" s="11" t="s">
        <v>1276</v>
      </c>
    </row>
    <row r="22" customFormat="false" ht="15" hidden="false" customHeight="true" outlineLevel="0" collapsed="false">
      <c r="A22" s="11" t="s">
        <v>36</v>
      </c>
      <c r="B22" s="8" t="s">
        <v>452</v>
      </c>
      <c r="C22" s="11" t="s">
        <v>453</v>
      </c>
      <c r="D22" s="17" t="s">
        <v>1000</v>
      </c>
      <c r="E22" s="11" t="s">
        <v>2519</v>
      </c>
      <c r="F22" s="11" t="s">
        <v>279</v>
      </c>
      <c r="G22" s="11" t="s">
        <v>1276</v>
      </c>
    </row>
    <row r="23" customFormat="false" ht="15" hidden="false" customHeight="true" outlineLevel="0" collapsed="false">
      <c r="A23" s="11" t="s">
        <v>36</v>
      </c>
      <c r="B23" s="8" t="s">
        <v>461</v>
      </c>
      <c r="C23" s="11" t="s">
        <v>228</v>
      </c>
      <c r="D23" s="17" t="s">
        <v>1010</v>
      </c>
      <c r="E23" s="11" t="s">
        <v>2569</v>
      </c>
      <c r="F23" s="11" t="s">
        <v>181</v>
      </c>
      <c r="G23" s="11" t="s">
        <v>1276</v>
      </c>
    </row>
    <row r="24" customFormat="false" ht="24" hidden="false" customHeight="true" outlineLevel="0" collapsed="false">
      <c r="A24" s="11" t="s">
        <v>36</v>
      </c>
      <c r="B24" s="8" t="s">
        <v>462</v>
      </c>
      <c r="C24" s="11" t="s">
        <v>463</v>
      </c>
      <c r="D24" s="17" t="s">
        <v>1012</v>
      </c>
      <c r="E24" s="11" t="s">
        <v>2576</v>
      </c>
      <c r="F24" s="11" t="s">
        <v>464</v>
      </c>
      <c r="G24" s="11" t="s">
        <v>1276</v>
      </c>
    </row>
    <row r="25" customFormat="false" ht="36" hidden="false" customHeight="true" outlineLevel="0" collapsed="false">
      <c r="A25" s="11" t="s">
        <v>36</v>
      </c>
      <c r="B25" s="8" t="s">
        <v>480</v>
      </c>
      <c r="C25" s="11" t="s">
        <v>481</v>
      </c>
      <c r="D25" s="17" t="s">
        <v>2636</v>
      </c>
      <c r="E25" s="11" t="s">
        <v>2643</v>
      </c>
      <c r="F25" s="11" t="s">
        <v>181</v>
      </c>
      <c r="G25" s="11" t="s">
        <v>1276</v>
      </c>
    </row>
    <row r="26" customFormat="false" ht="48.75" hidden="false" customHeight="true" outlineLevel="0" collapsed="false">
      <c r="A26" s="11" t="s">
        <v>38</v>
      </c>
      <c r="B26" s="8" t="s">
        <v>494</v>
      </c>
      <c r="C26" s="11" t="s">
        <v>495</v>
      </c>
      <c r="D26" s="17" t="s">
        <v>2711</v>
      </c>
      <c r="E26" s="11" t="s">
        <v>2720</v>
      </c>
      <c r="F26" s="11" t="s">
        <v>497</v>
      </c>
      <c r="G26" s="11" t="s">
        <v>1276</v>
      </c>
    </row>
    <row r="27" customFormat="false" ht="24" hidden="false" customHeight="true" outlineLevel="0" collapsed="false">
      <c r="A27" s="11" t="s">
        <v>38</v>
      </c>
      <c r="B27" s="8" t="s">
        <v>504</v>
      </c>
      <c r="C27" s="11" t="s">
        <v>505</v>
      </c>
      <c r="D27" s="17" t="s">
        <v>1043</v>
      </c>
      <c r="E27" s="11" t="s">
        <v>2748</v>
      </c>
      <c r="F27" s="11" t="s">
        <v>506</v>
      </c>
      <c r="G27" s="11" t="s">
        <v>1276</v>
      </c>
    </row>
    <row r="28" customFormat="false" ht="36" hidden="false" customHeight="true" outlineLevel="0" collapsed="false">
      <c r="A28" s="11" t="s">
        <v>38</v>
      </c>
      <c r="B28" s="8" t="s">
        <v>518</v>
      </c>
      <c r="C28" s="11" t="s">
        <v>519</v>
      </c>
      <c r="D28" s="17" t="s">
        <v>2786</v>
      </c>
      <c r="E28" s="11" t="s">
        <v>2793</v>
      </c>
      <c r="F28" s="11" t="s">
        <v>233</v>
      </c>
      <c r="G28" s="11" t="s">
        <v>1276</v>
      </c>
    </row>
    <row r="29" customFormat="false" ht="48.75" hidden="false" customHeight="true" outlineLevel="0" collapsed="false">
      <c r="A29" s="11" t="s">
        <v>38</v>
      </c>
      <c r="B29" s="8" t="s">
        <v>530</v>
      </c>
      <c r="C29" s="11" t="s">
        <v>531</v>
      </c>
      <c r="D29" s="17" t="s">
        <v>1059</v>
      </c>
      <c r="E29" s="11" t="s">
        <v>2844</v>
      </c>
      <c r="F29" s="11" t="s">
        <v>532</v>
      </c>
      <c r="G29" s="11" t="s">
        <v>1276</v>
      </c>
    </row>
    <row r="30" customFormat="false" ht="48.75" hidden="false" customHeight="true" outlineLevel="0" collapsed="false">
      <c r="A30" s="11" t="s">
        <v>38</v>
      </c>
      <c r="B30" s="8" t="s">
        <v>533</v>
      </c>
      <c r="C30" s="11" t="s">
        <v>534</v>
      </c>
      <c r="D30" s="17" t="s">
        <v>1061</v>
      </c>
      <c r="E30" s="11" t="s">
        <v>2850</v>
      </c>
      <c r="F30" s="11" t="s">
        <v>233</v>
      </c>
      <c r="G30" s="11" t="s">
        <v>1276</v>
      </c>
    </row>
    <row r="31" customFormat="false" ht="84.75" hidden="false" customHeight="true" outlineLevel="0" collapsed="false">
      <c r="A31" s="11" t="s">
        <v>38</v>
      </c>
      <c r="B31" s="8" t="s">
        <v>542</v>
      </c>
      <c r="C31" s="11" t="s">
        <v>543</v>
      </c>
      <c r="D31" s="17" t="s">
        <v>2877</v>
      </c>
      <c r="E31" s="11" t="s">
        <v>2884</v>
      </c>
      <c r="F31" s="11" t="s">
        <v>544</v>
      </c>
      <c r="G31" s="11" t="s">
        <v>1276</v>
      </c>
    </row>
    <row r="32" customFormat="false" ht="24" hidden="false" customHeight="true" outlineLevel="0" collapsed="false">
      <c r="A32" s="11" t="s">
        <v>38</v>
      </c>
      <c r="B32" s="8" t="s">
        <v>551</v>
      </c>
      <c r="C32" s="11" t="s">
        <v>552</v>
      </c>
      <c r="D32" s="17" t="s">
        <v>1072</v>
      </c>
      <c r="E32" s="11" t="s">
        <v>2916</v>
      </c>
      <c r="F32" s="11" t="s">
        <v>181</v>
      </c>
      <c r="G32" s="11" t="s">
        <v>1276</v>
      </c>
    </row>
    <row r="33" customFormat="false" ht="109.5" hidden="false" customHeight="true" outlineLevel="0" collapsed="false">
      <c r="A33" s="11" t="s">
        <v>38</v>
      </c>
      <c r="B33" s="8" t="s">
        <v>573</v>
      </c>
      <c r="C33" s="11" t="s">
        <v>574</v>
      </c>
      <c r="D33" s="17" t="s">
        <v>1089</v>
      </c>
      <c r="E33" s="11" t="s">
        <v>3000</v>
      </c>
      <c r="F33" s="11" t="s">
        <v>575</v>
      </c>
      <c r="G33" s="11" t="s">
        <v>1276</v>
      </c>
    </row>
    <row r="34" customFormat="false" ht="84.75" hidden="false" customHeight="true" outlineLevel="0" collapsed="false">
      <c r="A34" s="11" t="s">
        <v>38</v>
      </c>
      <c r="B34" s="8" t="s">
        <v>576</v>
      </c>
      <c r="C34" s="11" t="s">
        <v>577</v>
      </c>
      <c r="D34" s="17" t="s">
        <v>3003</v>
      </c>
      <c r="E34" s="11" t="s">
        <v>3013</v>
      </c>
      <c r="F34" s="11" t="s">
        <v>578</v>
      </c>
      <c r="G34" s="11" t="s">
        <v>1276</v>
      </c>
    </row>
    <row r="35" customFormat="false" ht="24" hidden="false" customHeight="true" outlineLevel="0" collapsed="false">
      <c r="A35" s="11" t="s">
        <v>40</v>
      </c>
      <c r="B35" s="8" t="s">
        <v>624</v>
      </c>
      <c r="C35" s="11" t="s">
        <v>543</v>
      </c>
      <c r="D35" s="17" t="s">
        <v>2877</v>
      </c>
      <c r="E35" s="11" t="s">
        <v>3208</v>
      </c>
      <c r="F35" s="11" t="s">
        <v>181</v>
      </c>
      <c r="G35" s="11" t="s">
        <v>1276</v>
      </c>
    </row>
    <row r="36" customFormat="false" ht="60.75" hidden="false" customHeight="true" outlineLevel="0" collapsed="false">
      <c r="A36" s="11" t="s">
        <v>40</v>
      </c>
      <c r="B36" s="8" t="s">
        <v>625</v>
      </c>
      <c r="C36" s="11" t="s">
        <v>626</v>
      </c>
      <c r="D36" s="17" t="s">
        <v>3211</v>
      </c>
      <c r="E36" s="11" t="s">
        <v>3218</v>
      </c>
      <c r="F36" s="11" t="s">
        <v>627</v>
      </c>
      <c r="G36" s="11" t="s">
        <v>1276</v>
      </c>
    </row>
    <row r="37" customFormat="false" ht="24" hidden="false" customHeight="true" outlineLevel="0" collapsed="false">
      <c r="A37" s="11" t="s">
        <v>40</v>
      </c>
      <c r="B37" s="8" t="s">
        <v>638</v>
      </c>
      <c r="C37" s="11" t="s">
        <v>551</v>
      </c>
      <c r="D37" s="17" t="s">
        <v>1072</v>
      </c>
      <c r="E37" s="11" t="s">
        <v>3267</v>
      </c>
      <c r="F37" s="11" t="s">
        <v>181</v>
      </c>
      <c r="G37" s="11" t="s">
        <v>1276</v>
      </c>
    </row>
    <row r="38" customFormat="false" ht="24" hidden="false" customHeight="true" outlineLevel="0" collapsed="false">
      <c r="A38" s="11" t="s">
        <v>42</v>
      </c>
      <c r="B38" s="8" t="s">
        <v>660</v>
      </c>
      <c r="C38" s="11" t="s">
        <v>182</v>
      </c>
      <c r="D38" s="17" t="s">
        <v>1154</v>
      </c>
      <c r="E38" s="11" t="s">
        <v>3358</v>
      </c>
      <c r="F38" s="11" t="s">
        <v>661</v>
      </c>
      <c r="G38" s="11" t="s">
        <v>1276</v>
      </c>
    </row>
    <row r="39" customFormat="false" ht="24" hidden="false" customHeight="true" outlineLevel="0" collapsed="false">
      <c r="A39" s="11" t="s">
        <v>42</v>
      </c>
      <c r="B39" s="8" t="s">
        <v>665</v>
      </c>
      <c r="C39" s="11" t="s">
        <v>498</v>
      </c>
      <c r="D39" s="17" t="s">
        <v>1158</v>
      </c>
      <c r="E39" s="11" t="s">
        <v>3375</v>
      </c>
      <c r="F39" s="11" t="s">
        <v>666</v>
      </c>
      <c r="G39" s="11" t="s">
        <v>1276</v>
      </c>
    </row>
    <row r="40" customFormat="false" ht="60.75" hidden="false" customHeight="true" outlineLevel="0" collapsed="false">
      <c r="A40" s="11" t="s">
        <v>42</v>
      </c>
      <c r="B40" s="8" t="s">
        <v>674</v>
      </c>
      <c r="C40" s="11" t="s">
        <v>675</v>
      </c>
      <c r="D40" s="17" t="s">
        <v>3413</v>
      </c>
      <c r="E40" s="11" t="s">
        <v>3419</v>
      </c>
      <c r="F40" s="11" t="s">
        <v>676</v>
      </c>
      <c r="G40" s="11" t="s">
        <v>1276</v>
      </c>
    </row>
    <row r="41" customFormat="false" ht="24" hidden="false" customHeight="true" outlineLevel="0" collapsed="false">
      <c r="A41" s="11" t="s">
        <v>42</v>
      </c>
      <c r="B41" s="8" t="s">
        <v>679</v>
      </c>
      <c r="C41" s="11" t="s">
        <v>680</v>
      </c>
      <c r="D41" s="17" t="s">
        <v>1170</v>
      </c>
      <c r="E41" s="11" t="s">
        <v>3436</v>
      </c>
      <c r="F41" s="11" t="s">
        <v>181</v>
      </c>
      <c r="G41" s="11" t="s">
        <v>1276</v>
      </c>
    </row>
    <row r="42" customFormat="false" ht="24" hidden="false" customHeight="true" outlineLevel="0" collapsed="false">
      <c r="A42" s="11" t="s">
        <v>42</v>
      </c>
      <c r="B42" s="8" t="s">
        <v>688</v>
      </c>
      <c r="C42" s="11" t="s">
        <v>197</v>
      </c>
      <c r="D42" s="17" t="s">
        <v>1178</v>
      </c>
      <c r="E42" s="11" t="s">
        <v>3478</v>
      </c>
      <c r="F42" s="11" t="s">
        <v>181</v>
      </c>
      <c r="G42" s="11" t="s">
        <v>1276</v>
      </c>
    </row>
    <row r="43" customFormat="false" ht="24" hidden="false" customHeight="true" outlineLevel="0" collapsed="false">
      <c r="A43" s="11" t="s">
        <v>42</v>
      </c>
      <c r="B43" s="8" t="s">
        <v>697</v>
      </c>
      <c r="C43" s="11" t="s">
        <v>698</v>
      </c>
      <c r="D43" s="17" t="s">
        <v>1185</v>
      </c>
      <c r="E43" s="11" t="s">
        <v>3517</v>
      </c>
      <c r="F43" s="11" t="s">
        <v>699</v>
      </c>
      <c r="G43" s="11" t="s">
        <v>1276</v>
      </c>
    </row>
    <row r="44" customFormat="false" ht="24" hidden="false" customHeight="true" outlineLevel="0" collapsed="false">
      <c r="A44" s="11" t="s">
        <v>42</v>
      </c>
      <c r="B44" s="8" t="s">
        <v>721</v>
      </c>
      <c r="C44" s="11" t="s">
        <v>219</v>
      </c>
      <c r="D44" s="17" t="s">
        <v>819</v>
      </c>
      <c r="E44" s="11" t="s">
        <v>3597</v>
      </c>
      <c r="F44" s="11" t="s">
        <v>661</v>
      </c>
      <c r="G44" s="11" t="s">
        <v>1276</v>
      </c>
    </row>
    <row r="45" customFormat="false" ht="15" hidden="false" customHeight="true" outlineLevel="0" collapsed="false">
      <c r="A45" s="11" t="s">
        <v>42</v>
      </c>
      <c r="B45" s="8" t="s">
        <v>755</v>
      </c>
      <c r="C45" s="11" t="s">
        <v>228</v>
      </c>
      <c r="D45" s="17" t="s">
        <v>1221</v>
      </c>
      <c r="E45" s="11" t="s">
        <v>3723</v>
      </c>
      <c r="F45" s="11" t="s">
        <v>181</v>
      </c>
      <c r="G45" s="11" t="s">
        <v>1276</v>
      </c>
    </row>
    <row r="46" customFormat="false" ht="24" hidden="false" customHeight="true" outlineLevel="0" collapsed="false">
      <c r="A46" s="11" t="s">
        <v>30</v>
      </c>
      <c r="B46" s="8" t="s">
        <v>4454</v>
      </c>
      <c r="C46" s="11"/>
      <c r="D46" s="17" t="s">
        <v>1371</v>
      </c>
      <c r="E46" s="11" t="s">
        <v>4455</v>
      </c>
      <c r="F46" s="11"/>
      <c r="G46" s="11" t="s">
        <v>4456</v>
      </c>
    </row>
    <row r="47" customFormat="false" ht="24" hidden="false" customHeight="true" outlineLevel="0" collapsed="false">
      <c r="A47" s="11" t="s">
        <v>30</v>
      </c>
      <c r="B47" s="8" t="s">
        <v>4457</v>
      </c>
      <c r="C47" s="11"/>
      <c r="D47" s="17" t="s">
        <v>815</v>
      </c>
      <c r="E47" s="11" t="s">
        <v>4458</v>
      </c>
      <c r="F47" s="11"/>
      <c r="G47" s="11" t="s">
        <v>4456</v>
      </c>
    </row>
    <row r="48" customFormat="false" ht="24" hidden="false" customHeight="true" outlineLevel="0" collapsed="false">
      <c r="A48" s="11" t="s">
        <v>30</v>
      </c>
      <c r="B48" s="8" t="s">
        <v>4459</v>
      </c>
      <c r="C48" s="11"/>
      <c r="D48" s="17" t="s">
        <v>785</v>
      </c>
      <c r="E48" s="11" t="s">
        <v>4460</v>
      </c>
      <c r="F48" s="11"/>
      <c r="G48" s="11" t="s">
        <v>4456</v>
      </c>
    </row>
    <row r="49" customFormat="false" ht="24" hidden="false" customHeight="true" outlineLevel="0" collapsed="false">
      <c r="A49" s="11" t="s">
        <v>30</v>
      </c>
      <c r="B49" s="8" t="s">
        <v>4461</v>
      </c>
      <c r="C49" s="11"/>
      <c r="D49" s="17" t="s">
        <v>1397</v>
      </c>
      <c r="E49" s="11" t="s">
        <v>4462</v>
      </c>
      <c r="F49" s="11"/>
      <c r="G49" s="11" t="s">
        <v>4456</v>
      </c>
    </row>
    <row r="50" customFormat="false" ht="24" hidden="false" customHeight="true" outlineLevel="0" collapsed="false">
      <c r="A50" s="11" t="s">
        <v>30</v>
      </c>
      <c r="B50" s="8" t="s">
        <v>4463</v>
      </c>
      <c r="C50" s="11"/>
      <c r="D50" s="17" t="s">
        <v>1527</v>
      </c>
      <c r="E50" s="11" t="s">
        <v>4464</v>
      </c>
      <c r="F50" s="11"/>
      <c r="G50" s="11" t="s">
        <v>4456</v>
      </c>
    </row>
    <row r="51" customFormat="false" ht="24" hidden="false" customHeight="true" outlineLevel="0" collapsed="false">
      <c r="A51" s="11" t="s">
        <v>30</v>
      </c>
      <c r="B51" s="8" t="s">
        <v>4465</v>
      </c>
      <c r="C51" s="11"/>
      <c r="D51" s="17" t="s">
        <v>1598</v>
      </c>
      <c r="E51" s="11" t="s">
        <v>4466</v>
      </c>
      <c r="F51" s="11"/>
      <c r="G51" s="11" t="s">
        <v>4456</v>
      </c>
    </row>
    <row r="52" customFormat="false" ht="24" hidden="false" customHeight="true" outlineLevel="0" collapsed="false">
      <c r="A52" s="11" t="s">
        <v>30</v>
      </c>
      <c r="B52" s="8" t="s">
        <v>4467</v>
      </c>
      <c r="C52" s="11"/>
      <c r="D52" s="17" t="s">
        <v>4179</v>
      </c>
      <c r="E52" s="11" t="s">
        <v>4468</v>
      </c>
      <c r="F52" s="11"/>
      <c r="G52" s="11" t="s">
        <v>4456</v>
      </c>
    </row>
    <row r="53" customFormat="false" ht="24" hidden="false" customHeight="true" outlineLevel="0" collapsed="false">
      <c r="A53" s="11" t="s">
        <v>30</v>
      </c>
      <c r="B53" s="8" t="s">
        <v>4469</v>
      </c>
      <c r="C53" s="11"/>
      <c r="D53" s="17" t="s">
        <v>4470</v>
      </c>
      <c r="E53" s="11" t="s">
        <v>4471</v>
      </c>
      <c r="F53" s="11"/>
      <c r="G53" s="11" t="s">
        <v>4456</v>
      </c>
    </row>
    <row r="54" customFormat="false" ht="24" hidden="false" customHeight="true" outlineLevel="0" collapsed="false">
      <c r="A54" s="11" t="s">
        <v>30</v>
      </c>
      <c r="B54" s="8" t="s">
        <v>4472</v>
      </c>
      <c r="C54" s="11"/>
      <c r="D54" s="17" t="s">
        <v>4473</v>
      </c>
      <c r="E54" s="11" t="s">
        <v>4474</v>
      </c>
      <c r="F54" s="11"/>
      <c r="G54" s="11" t="s">
        <v>4456</v>
      </c>
    </row>
    <row r="55" customFormat="false" ht="24" hidden="false" customHeight="true" outlineLevel="0" collapsed="false">
      <c r="A55" s="11" t="s">
        <v>30</v>
      </c>
      <c r="B55" s="8" t="s">
        <v>4475</v>
      </c>
      <c r="C55" s="11"/>
      <c r="D55" s="17" t="s">
        <v>994</v>
      </c>
      <c r="E55" s="11" t="s">
        <v>4476</v>
      </c>
      <c r="F55" s="11"/>
      <c r="G55" s="11" t="s">
        <v>4456</v>
      </c>
    </row>
    <row r="56" customFormat="false" ht="24" hidden="false" customHeight="true" outlineLevel="0" collapsed="false">
      <c r="A56" s="11" t="s">
        <v>30</v>
      </c>
      <c r="B56" s="8" t="s">
        <v>4477</v>
      </c>
      <c r="C56" s="11"/>
      <c r="D56" s="17" t="s">
        <v>811</v>
      </c>
      <c r="E56" s="11" t="s">
        <v>4478</v>
      </c>
      <c r="F56" s="11"/>
      <c r="G56" s="11" t="s">
        <v>4456</v>
      </c>
    </row>
    <row r="57" customFormat="false" ht="24" hidden="false" customHeight="true" outlineLevel="0" collapsed="false">
      <c r="A57" s="11" t="s">
        <v>32</v>
      </c>
      <c r="B57" s="8" t="s">
        <v>335</v>
      </c>
      <c r="C57" s="11"/>
      <c r="D57" s="17" t="s">
        <v>908</v>
      </c>
      <c r="E57" s="11" t="s">
        <v>4479</v>
      </c>
      <c r="F57" s="11"/>
      <c r="G57" s="11" t="s">
        <v>4456</v>
      </c>
    </row>
    <row r="58" customFormat="false" ht="24" hidden="false" customHeight="true" outlineLevel="0" collapsed="false">
      <c r="A58" s="11" t="s">
        <v>32</v>
      </c>
      <c r="B58" s="8" t="s">
        <v>4480</v>
      </c>
      <c r="C58" s="11"/>
      <c r="D58" s="17" t="s">
        <v>4481</v>
      </c>
      <c r="E58" s="11" t="s">
        <v>4482</v>
      </c>
      <c r="F58" s="11"/>
      <c r="G58" s="11" t="s">
        <v>4456</v>
      </c>
    </row>
    <row r="59" customFormat="false" ht="24" hidden="false" customHeight="true" outlineLevel="0" collapsed="false">
      <c r="A59" s="11" t="s">
        <v>32</v>
      </c>
      <c r="B59" s="8" t="s">
        <v>412</v>
      </c>
      <c r="C59" s="11"/>
      <c r="D59" s="17" t="s">
        <v>1632</v>
      </c>
      <c r="E59" s="11" t="s">
        <v>4483</v>
      </c>
      <c r="F59" s="11"/>
      <c r="G59" s="11" t="s">
        <v>4456</v>
      </c>
    </row>
    <row r="60" customFormat="false" ht="24" hidden="false" customHeight="true" outlineLevel="0" collapsed="false">
      <c r="A60" s="11" t="s">
        <v>32</v>
      </c>
      <c r="B60" s="8" t="s">
        <v>4484</v>
      </c>
      <c r="C60" s="11"/>
      <c r="D60" s="17" t="s">
        <v>4485</v>
      </c>
      <c r="E60" s="11" t="s">
        <v>4486</v>
      </c>
      <c r="F60" s="11"/>
      <c r="G60" s="11" t="s">
        <v>4456</v>
      </c>
    </row>
    <row r="61" customFormat="false" ht="24" hidden="false" customHeight="true" outlineLevel="0" collapsed="false">
      <c r="A61" s="11" t="s">
        <v>32</v>
      </c>
      <c r="B61" s="8" t="s">
        <v>4487</v>
      </c>
      <c r="C61" s="11"/>
      <c r="D61" s="17" t="s">
        <v>4488</v>
      </c>
      <c r="E61" s="11" t="s">
        <v>4489</v>
      </c>
      <c r="F61" s="11"/>
      <c r="G61" s="11" t="s">
        <v>4456</v>
      </c>
    </row>
    <row r="62" customFormat="false" ht="24" hidden="false" customHeight="true" outlineLevel="0" collapsed="false">
      <c r="A62" s="11" t="s">
        <v>32</v>
      </c>
      <c r="B62" s="8" t="s">
        <v>4490</v>
      </c>
      <c r="C62" s="11" t="s">
        <v>4491</v>
      </c>
      <c r="D62" s="17" t="s">
        <v>4492</v>
      </c>
      <c r="E62" s="11" t="s">
        <v>4493</v>
      </c>
      <c r="F62" s="11"/>
      <c r="G62" s="11" t="s">
        <v>4456</v>
      </c>
    </row>
    <row r="63" customFormat="false" ht="24" hidden="false" customHeight="true" outlineLevel="0" collapsed="false">
      <c r="A63" s="11" t="s">
        <v>34</v>
      </c>
      <c r="B63" s="8" t="s">
        <v>4494</v>
      </c>
      <c r="C63" s="11"/>
      <c r="D63" s="17" t="s">
        <v>2051</v>
      </c>
      <c r="E63" s="11" t="s">
        <v>4495</v>
      </c>
      <c r="F63" s="11"/>
      <c r="G63" s="11" t="s">
        <v>4456</v>
      </c>
    </row>
    <row r="64" customFormat="false" ht="24" hidden="false" customHeight="true" outlineLevel="0" collapsed="false">
      <c r="A64" s="11" t="s">
        <v>34</v>
      </c>
      <c r="B64" s="8" t="s">
        <v>4496</v>
      </c>
      <c r="C64" s="11"/>
      <c r="D64" s="17" t="s">
        <v>4497</v>
      </c>
      <c r="E64" s="11" t="s">
        <v>4498</v>
      </c>
      <c r="F64" s="11"/>
      <c r="G64" s="11" t="s">
        <v>4456</v>
      </c>
    </row>
    <row r="65" customFormat="false" ht="24" hidden="false" customHeight="true" outlineLevel="0" collapsed="false">
      <c r="A65" s="11" t="s">
        <v>34</v>
      </c>
      <c r="B65" s="8" t="s">
        <v>4499</v>
      </c>
      <c r="C65" s="11"/>
      <c r="D65" s="17" t="s">
        <v>4500</v>
      </c>
      <c r="E65" s="11" t="s">
        <v>4501</v>
      </c>
      <c r="F65" s="11"/>
      <c r="G65" s="11" t="s">
        <v>4456</v>
      </c>
    </row>
    <row r="66" customFormat="false" ht="24" hidden="false" customHeight="true" outlineLevel="0" collapsed="false">
      <c r="A66" s="11" t="s">
        <v>34</v>
      </c>
      <c r="B66" s="8" t="s">
        <v>4502</v>
      </c>
      <c r="C66" s="11"/>
      <c r="D66" s="17" t="s">
        <v>4503</v>
      </c>
      <c r="E66" s="11" t="s">
        <v>4504</v>
      </c>
      <c r="F66" s="11"/>
      <c r="G66" s="11" t="s">
        <v>4456</v>
      </c>
    </row>
    <row r="67" customFormat="false" ht="24" hidden="false" customHeight="true" outlineLevel="0" collapsed="false">
      <c r="A67" s="11" t="s">
        <v>34</v>
      </c>
      <c r="B67" s="8" t="s">
        <v>4505</v>
      </c>
      <c r="C67" s="11"/>
      <c r="D67" s="17" t="s">
        <v>4506</v>
      </c>
      <c r="E67" s="11" t="s">
        <v>4507</v>
      </c>
      <c r="F67" s="11"/>
      <c r="G67" s="11" t="s">
        <v>4456</v>
      </c>
    </row>
    <row r="68" customFormat="false" ht="24" hidden="false" customHeight="true" outlineLevel="0" collapsed="false">
      <c r="A68" s="11" t="s">
        <v>34</v>
      </c>
      <c r="B68" s="8" t="s">
        <v>4508</v>
      </c>
      <c r="C68" s="11"/>
      <c r="D68" s="11" t="s">
        <v>4509</v>
      </c>
      <c r="E68" s="11" t="s">
        <v>4510</v>
      </c>
      <c r="F68" s="11"/>
      <c r="G68" s="11" t="s">
        <v>4456</v>
      </c>
    </row>
    <row r="69" customFormat="false" ht="24" hidden="false" customHeight="true" outlineLevel="0" collapsed="false">
      <c r="A69" s="11" t="s">
        <v>34</v>
      </c>
      <c r="B69" s="8" t="s">
        <v>4511</v>
      </c>
      <c r="C69" s="11"/>
      <c r="D69" s="17" t="s">
        <v>4512</v>
      </c>
      <c r="E69" s="11" t="s">
        <v>4513</v>
      </c>
      <c r="F69" s="11"/>
      <c r="G69" s="11" t="s">
        <v>4456</v>
      </c>
    </row>
    <row r="70" customFormat="false" ht="24" hidden="false" customHeight="true" outlineLevel="0" collapsed="false">
      <c r="A70" s="11" t="s">
        <v>34</v>
      </c>
      <c r="B70" s="8" t="s">
        <v>4514</v>
      </c>
      <c r="C70" s="11" t="s">
        <v>4515</v>
      </c>
      <c r="D70" s="17" t="s">
        <v>4516</v>
      </c>
      <c r="E70" s="11" t="s">
        <v>4517</v>
      </c>
      <c r="F70" s="11"/>
      <c r="G70" s="11" t="s">
        <v>4456</v>
      </c>
    </row>
    <row r="71" customFormat="false" ht="24" hidden="false" customHeight="true" outlineLevel="0" collapsed="false">
      <c r="A71" s="11" t="s">
        <v>34</v>
      </c>
      <c r="B71" s="8" t="s">
        <v>4518</v>
      </c>
      <c r="C71" s="11" t="s">
        <v>4519</v>
      </c>
      <c r="D71" s="17" t="s">
        <v>4516</v>
      </c>
      <c r="E71" s="11" t="s">
        <v>4520</v>
      </c>
      <c r="F71" s="11"/>
      <c r="G71" s="11" t="s">
        <v>4456</v>
      </c>
    </row>
    <row r="72" customFormat="false" ht="24" hidden="false" customHeight="true" outlineLevel="0" collapsed="false">
      <c r="A72" s="11" t="s">
        <v>34</v>
      </c>
      <c r="B72" s="8" t="s">
        <v>4521</v>
      </c>
      <c r="C72" s="11" t="s">
        <v>4522</v>
      </c>
      <c r="D72" s="17" t="s">
        <v>4516</v>
      </c>
      <c r="E72" s="11" t="s">
        <v>4523</v>
      </c>
      <c r="F72" s="11"/>
      <c r="G72" s="11" t="s">
        <v>4456</v>
      </c>
    </row>
    <row r="73" customFormat="false" ht="24" hidden="false" customHeight="true" outlineLevel="0" collapsed="false">
      <c r="A73" s="11" t="s">
        <v>36</v>
      </c>
      <c r="B73" s="8" t="s">
        <v>4524</v>
      </c>
      <c r="C73" s="11"/>
      <c r="D73" s="11"/>
      <c r="E73" s="11" t="s">
        <v>4525</v>
      </c>
      <c r="F73" s="11"/>
      <c r="G73" s="11" t="s">
        <v>4456</v>
      </c>
    </row>
    <row r="74" customFormat="false" ht="24" hidden="false" customHeight="true" outlineLevel="0" collapsed="false">
      <c r="A74" s="11" t="s">
        <v>36</v>
      </c>
      <c r="B74" s="8" t="s">
        <v>4526</v>
      </c>
      <c r="C74" s="11"/>
      <c r="D74" s="11"/>
      <c r="E74" s="11" t="s">
        <v>4527</v>
      </c>
      <c r="F74" s="11"/>
      <c r="G74" s="11" t="s">
        <v>4456</v>
      </c>
    </row>
    <row r="75" customFormat="false" ht="24" hidden="false" customHeight="true" outlineLevel="0" collapsed="false">
      <c r="A75" s="11" t="s">
        <v>36</v>
      </c>
      <c r="B75" s="8" t="s">
        <v>4528</v>
      </c>
      <c r="C75" s="11"/>
      <c r="D75" s="11"/>
      <c r="E75" s="11" t="s">
        <v>4529</v>
      </c>
      <c r="F75" s="11"/>
      <c r="G75" s="11" t="s">
        <v>4456</v>
      </c>
    </row>
    <row r="76" customFormat="false" ht="24" hidden="false" customHeight="true" outlineLevel="0" collapsed="false">
      <c r="A76" s="11" t="s">
        <v>36</v>
      </c>
      <c r="B76" s="8" t="s">
        <v>4530</v>
      </c>
      <c r="C76" s="11"/>
      <c r="D76" s="11"/>
      <c r="E76" s="11" t="s">
        <v>4531</v>
      </c>
      <c r="F76" s="11"/>
      <c r="G76" s="11" t="s">
        <v>4456</v>
      </c>
    </row>
    <row r="77" customFormat="false" ht="24" hidden="false" customHeight="true" outlineLevel="0" collapsed="false">
      <c r="A77" s="11" t="s">
        <v>36</v>
      </c>
      <c r="B77" s="8" t="s">
        <v>4532</v>
      </c>
      <c r="C77" s="11"/>
      <c r="D77" s="11"/>
      <c r="E77" s="11" t="s">
        <v>4533</v>
      </c>
      <c r="F77" s="11"/>
      <c r="G77" s="11" t="s">
        <v>4456</v>
      </c>
    </row>
    <row r="78" customFormat="false" ht="24" hidden="false" customHeight="true" outlineLevel="0" collapsed="false">
      <c r="A78" s="11" t="s">
        <v>36</v>
      </c>
      <c r="B78" s="8" t="s">
        <v>4534</v>
      </c>
      <c r="C78" s="11" t="s">
        <v>420</v>
      </c>
      <c r="D78" s="17" t="s">
        <v>4535</v>
      </c>
      <c r="E78" s="11" t="s">
        <v>4536</v>
      </c>
      <c r="F78" s="11"/>
      <c r="G78" s="11" t="s">
        <v>4456</v>
      </c>
    </row>
    <row r="79" customFormat="false" ht="24" hidden="false" customHeight="true" outlineLevel="0" collapsed="false">
      <c r="A79" s="11" t="s">
        <v>38</v>
      </c>
      <c r="B79" s="8" t="s">
        <v>551</v>
      </c>
      <c r="C79" s="11"/>
      <c r="D79" s="11"/>
      <c r="E79" s="11" t="s">
        <v>4537</v>
      </c>
      <c r="F79" s="11"/>
      <c r="G79" s="11" t="s">
        <v>4456</v>
      </c>
    </row>
    <row r="80" customFormat="false" ht="24" hidden="false" customHeight="true" outlineLevel="0" collapsed="false">
      <c r="A80" s="11" t="s">
        <v>38</v>
      </c>
      <c r="B80" s="8" t="s">
        <v>504</v>
      </c>
      <c r="C80" s="11"/>
      <c r="D80" s="11"/>
      <c r="E80" s="11" t="s">
        <v>4538</v>
      </c>
      <c r="F80" s="11"/>
      <c r="G80" s="11" t="s">
        <v>4456</v>
      </c>
    </row>
    <row r="81" customFormat="false" ht="24" hidden="false" customHeight="true" outlineLevel="0" collapsed="false">
      <c r="A81" s="11" t="s">
        <v>38</v>
      </c>
      <c r="B81" s="8" t="s">
        <v>530</v>
      </c>
      <c r="C81" s="11"/>
      <c r="D81" s="11"/>
      <c r="E81" s="11" t="s">
        <v>4539</v>
      </c>
      <c r="F81" s="11"/>
      <c r="G81" s="11" t="s">
        <v>4456</v>
      </c>
    </row>
    <row r="82" customFormat="false" ht="24" hidden="false" customHeight="true" outlineLevel="0" collapsed="false">
      <c r="A82" s="11" t="s">
        <v>38</v>
      </c>
      <c r="B82" s="8" t="s">
        <v>543</v>
      </c>
      <c r="C82" s="11"/>
      <c r="D82" s="11"/>
      <c r="E82" s="11" t="s">
        <v>4540</v>
      </c>
      <c r="F82" s="11"/>
      <c r="G82" s="11" t="s">
        <v>4456</v>
      </c>
    </row>
    <row r="83" customFormat="false" ht="24" hidden="false" customHeight="true" outlineLevel="0" collapsed="false">
      <c r="A83" s="11" t="s">
        <v>38</v>
      </c>
      <c r="B83" s="8" t="s">
        <v>4541</v>
      </c>
      <c r="C83" s="11"/>
      <c r="D83" s="11"/>
      <c r="E83" s="11" t="s">
        <v>4542</v>
      </c>
      <c r="F83" s="11"/>
      <c r="G83" s="11" t="s">
        <v>4456</v>
      </c>
    </row>
    <row r="84" customFormat="false" ht="24" hidden="false" customHeight="true" outlineLevel="0" collapsed="false">
      <c r="A84" s="11" t="s">
        <v>38</v>
      </c>
      <c r="B84" s="8" t="s">
        <v>4543</v>
      </c>
      <c r="C84" s="11"/>
      <c r="D84" s="11"/>
      <c r="E84" s="11" t="s">
        <v>4544</v>
      </c>
      <c r="F84" s="11"/>
      <c r="G84" s="11" t="s">
        <v>4456</v>
      </c>
    </row>
    <row r="85" customFormat="false" ht="24" hidden="false" customHeight="true" outlineLevel="0" collapsed="false">
      <c r="A85" s="11" t="s">
        <v>38</v>
      </c>
      <c r="B85" s="8" t="s">
        <v>4545</v>
      </c>
      <c r="C85" s="11"/>
      <c r="D85" s="11"/>
      <c r="E85" s="11" t="s">
        <v>4546</v>
      </c>
      <c r="F85" s="11"/>
      <c r="G85" s="11" t="s">
        <v>4456</v>
      </c>
    </row>
    <row r="86" customFormat="false" ht="24" hidden="false" customHeight="true" outlineLevel="0" collapsed="false">
      <c r="A86" s="11" t="s">
        <v>38</v>
      </c>
      <c r="B86" s="8" t="s">
        <v>4547</v>
      </c>
      <c r="C86" s="11"/>
      <c r="D86" s="11"/>
      <c r="E86" s="11" t="s">
        <v>4548</v>
      </c>
      <c r="F86" s="11"/>
      <c r="G86" s="11" t="s">
        <v>4456</v>
      </c>
    </row>
    <row r="87" customFormat="false" ht="24" hidden="false" customHeight="true" outlineLevel="0" collapsed="false">
      <c r="A87" s="11" t="s">
        <v>38</v>
      </c>
      <c r="B87" s="8" t="s">
        <v>4549</v>
      </c>
      <c r="C87" s="11"/>
      <c r="D87" s="11"/>
      <c r="E87" s="11" t="s">
        <v>4550</v>
      </c>
      <c r="F87" s="11"/>
      <c r="G87" s="11" t="s">
        <v>4456</v>
      </c>
    </row>
    <row r="88" customFormat="false" ht="24" hidden="false" customHeight="true" outlineLevel="0" collapsed="false">
      <c r="A88" s="11" t="s">
        <v>38</v>
      </c>
      <c r="B88" s="8" t="s">
        <v>4551</v>
      </c>
      <c r="C88" s="11"/>
      <c r="D88" s="11"/>
      <c r="E88" s="11" t="s">
        <v>4552</v>
      </c>
      <c r="F88" s="11"/>
      <c r="G88" s="11" t="s">
        <v>4456</v>
      </c>
    </row>
    <row r="89" customFormat="false" ht="24" hidden="false" customHeight="true" outlineLevel="0" collapsed="false">
      <c r="A89" s="11" t="s">
        <v>38</v>
      </c>
      <c r="B89" s="8" t="s">
        <v>4553</v>
      </c>
      <c r="C89" s="11" t="s">
        <v>663</v>
      </c>
      <c r="D89" s="17" t="s">
        <v>4554</v>
      </c>
      <c r="E89" s="11" t="s">
        <v>4555</v>
      </c>
      <c r="F89" s="11"/>
      <c r="G89" s="11" t="s">
        <v>4456</v>
      </c>
    </row>
    <row r="90" customFormat="false" ht="36" hidden="false" customHeight="true" outlineLevel="0" collapsed="false">
      <c r="A90" s="11" t="s">
        <v>38</v>
      </c>
      <c r="B90" s="8" t="s">
        <v>4556</v>
      </c>
      <c r="C90" s="11" t="s">
        <v>546</v>
      </c>
      <c r="D90" s="17" t="s">
        <v>4557</v>
      </c>
      <c r="E90" s="11" t="s">
        <v>4558</v>
      </c>
      <c r="F90" s="11"/>
      <c r="G90" s="11" t="s">
        <v>4456</v>
      </c>
    </row>
    <row r="91" customFormat="false" ht="24" hidden="false" customHeight="true" outlineLevel="0" collapsed="false">
      <c r="A91" s="11" t="s">
        <v>40</v>
      </c>
      <c r="B91" s="8" t="s">
        <v>551</v>
      </c>
      <c r="C91" s="11"/>
      <c r="D91" s="11"/>
      <c r="E91" s="11" t="s">
        <v>4559</v>
      </c>
      <c r="F91" s="11"/>
      <c r="G91" s="11" t="s">
        <v>4456</v>
      </c>
    </row>
    <row r="92" customFormat="false" ht="24" hidden="false" customHeight="true" outlineLevel="0" collapsed="false">
      <c r="A92" s="11" t="s">
        <v>40</v>
      </c>
      <c r="B92" s="8" t="s">
        <v>4560</v>
      </c>
      <c r="C92" s="11"/>
      <c r="D92" s="11"/>
      <c r="E92" s="11" t="s">
        <v>4561</v>
      </c>
      <c r="F92" s="11"/>
      <c r="G92" s="11" t="s">
        <v>4456</v>
      </c>
    </row>
    <row r="93" customFormat="false" ht="24" hidden="false" customHeight="true" outlineLevel="0" collapsed="false">
      <c r="A93" s="11" t="s">
        <v>40</v>
      </c>
      <c r="B93" s="8" t="s">
        <v>4562</v>
      </c>
      <c r="C93" s="11"/>
      <c r="D93" s="11"/>
      <c r="E93" s="11" t="s">
        <v>4563</v>
      </c>
      <c r="F93" s="11"/>
      <c r="G93" s="11" t="s">
        <v>4456</v>
      </c>
    </row>
    <row r="94" customFormat="false" ht="24" hidden="false" customHeight="true" outlineLevel="0" collapsed="false">
      <c r="A94" s="11" t="s">
        <v>40</v>
      </c>
      <c r="B94" s="8" t="s">
        <v>4564</v>
      </c>
      <c r="C94" s="11"/>
      <c r="D94" s="11"/>
      <c r="E94" s="11" t="s">
        <v>4565</v>
      </c>
      <c r="F94" s="11"/>
      <c r="G94" s="11" t="s">
        <v>4456</v>
      </c>
    </row>
    <row r="95" customFormat="false" ht="24" hidden="false" customHeight="true" outlineLevel="0" collapsed="false">
      <c r="A95" s="11" t="s">
        <v>40</v>
      </c>
      <c r="B95" s="8" t="s">
        <v>4566</v>
      </c>
      <c r="C95" s="11"/>
      <c r="D95" s="11"/>
      <c r="E95" s="11" t="s">
        <v>4567</v>
      </c>
      <c r="F95" s="11"/>
      <c r="G95" s="11" t="s">
        <v>4456</v>
      </c>
    </row>
    <row r="96" customFormat="false" ht="24" hidden="false" customHeight="true" outlineLevel="0" collapsed="false">
      <c r="A96" s="11" t="s">
        <v>42</v>
      </c>
      <c r="B96" s="8" t="s">
        <v>228</v>
      </c>
      <c r="C96" s="11"/>
      <c r="D96" s="17" t="s">
        <v>1221</v>
      </c>
      <c r="E96" s="11" t="s">
        <v>4568</v>
      </c>
      <c r="F96" s="11"/>
      <c r="G96" s="11" t="s">
        <v>4456</v>
      </c>
    </row>
    <row r="97" customFormat="false" ht="24" hidden="false" customHeight="true" outlineLevel="0" collapsed="false">
      <c r="A97" s="11" t="s">
        <v>42</v>
      </c>
      <c r="B97" s="8" t="s">
        <v>194</v>
      </c>
      <c r="C97" s="11"/>
      <c r="D97" s="17" t="s">
        <v>1170</v>
      </c>
      <c r="E97" s="11" t="s">
        <v>4569</v>
      </c>
      <c r="F97" s="11"/>
      <c r="G97" s="11" t="s">
        <v>4456</v>
      </c>
    </row>
    <row r="98" customFormat="false" ht="24" hidden="false" customHeight="true" outlineLevel="0" collapsed="false">
      <c r="A98" s="11" t="s">
        <v>42</v>
      </c>
      <c r="B98" s="8" t="s">
        <v>498</v>
      </c>
      <c r="C98" s="11"/>
      <c r="D98" s="17" t="s">
        <v>1158</v>
      </c>
      <c r="E98" s="11" t="s">
        <v>4570</v>
      </c>
      <c r="F98" s="11"/>
      <c r="G98" s="11" t="s">
        <v>4456</v>
      </c>
    </row>
    <row r="99" customFormat="false" ht="24" hidden="false" customHeight="true" outlineLevel="0" collapsed="false">
      <c r="A99" s="11" t="s">
        <v>42</v>
      </c>
      <c r="B99" s="8" t="s">
        <v>219</v>
      </c>
      <c r="C99" s="11"/>
      <c r="D99" s="17" t="s">
        <v>819</v>
      </c>
      <c r="E99" s="11" t="s">
        <v>4571</v>
      </c>
      <c r="F99" s="11"/>
      <c r="G99" s="11" t="s">
        <v>4456</v>
      </c>
    </row>
    <row r="100" customFormat="false" ht="24" hidden="false" customHeight="true" outlineLevel="0" collapsed="false">
      <c r="A100" s="11" t="s">
        <v>42</v>
      </c>
      <c r="B100" s="8" t="s">
        <v>4572</v>
      </c>
      <c r="C100" s="11"/>
      <c r="D100" s="17" t="s">
        <v>1185</v>
      </c>
      <c r="E100" s="11" t="s">
        <v>4573</v>
      </c>
      <c r="F100" s="11"/>
      <c r="G100" s="11" t="s">
        <v>4456</v>
      </c>
    </row>
    <row r="101" customFormat="false" ht="24" hidden="false" customHeight="true" outlineLevel="0" collapsed="false">
      <c r="A101" s="11" t="s">
        <v>42</v>
      </c>
      <c r="B101" s="8" t="s">
        <v>4574</v>
      </c>
      <c r="C101" s="11"/>
      <c r="D101" s="17" t="s">
        <v>1209</v>
      </c>
      <c r="E101" s="11" t="s">
        <v>4575</v>
      </c>
      <c r="F101" s="11"/>
      <c r="G101" s="11" t="s">
        <v>4456</v>
      </c>
    </row>
    <row r="102" customFormat="false" ht="24" hidden="false" customHeight="true" outlineLevel="0" collapsed="false">
      <c r="A102" s="11" t="s">
        <v>42</v>
      </c>
      <c r="B102" s="8" t="s">
        <v>185</v>
      </c>
      <c r="C102" s="11"/>
      <c r="D102" s="17" t="s">
        <v>1209</v>
      </c>
      <c r="E102" s="11" t="s">
        <v>4576</v>
      </c>
      <c r="F102" s="11"/>
      <c r="G102" s="11" t="s">
        <v>4456</v>
      </c>
    </row>
    <row r="103" customFormat="false" ht="24" hidden="false" customHeight="true" outlineLevel="0" collapsed="false">
      <c r="A103" s="11" t="s">
        <v>42</v>
      </c>
      <c r="B103" s="8" t="s">
        <v>4577</v>
      </c>
      <c r="C103" s="11"/>
      <c r="D103" s="17" t="s">
        <v>1715</v>
      </c>
      <c r="E103" s="11" t="s">
        <v>4578</v>
      </c>
      <c r="F103" s="11"/>
      <c r="G103" s="11" t="s">
        <v>4456</v>
      </c>
    </row>
    <row r="104" customFormat="false" ht="48.75" hidden="false" customHeight="true" outlineLevel="0" collapsed="false">
      <c r="A104" s="11" t="s">
        <v>42</v>
      </c>
      <c r="B104" s="8" t="s">
        <v>4579</v>
      </c>
      <c r="C104" s="11" t="s">
        <v>4580</v>
      </c>
      <c r="D104" s="17" t="s">
        <v>4581</v>
      </c>
      <c r="E104" s="11" t="s">
        <v>4582</v>
      </c>
      <c r="F104" s="11"/>
      <c r="G104" s="11" t="s">
        <v>4456</v>
      </c>
    </row>
    <row r="105" customFormat="false" ht="36" hidden="false" customHeight="true" outlineLevel="0" collapsed="false">
      <c r="A105" s="11" t="s">
        <v>42</v>
      </c>
      <c r="B105" s="8" t="s">
        <v>4583</v>
      </c>
      <c r="C105" s="11" t="s">
        <v>4583</v>
      </c>
      <c r="D105" s="17" t="s">
        <v>4584</v>
      </c>
      <c r="E105" s="11" t="s">
        <v>4585</v>
      </c>
      <c r="F105" s="11"/>
      <c r="G105" s="11" t="s">
        <v>4456</v>
      </c>
    </row>
    <row r="106" customFormat="false" ht="24" hidden="false" customHeight="true" outlineLevel="0" collapsed="false">
      <c r="A106" s="11" t="s">
        <v>42</v>
      </c>
      <c r="B106" s="8" t="s">
        <v>4586</v>
      </c>
      <c r="C106" s="11" t="s">
        <v>4586</v>
      </c>
      <c r="D106" s="17" t="s">
        <v>4587</v>
      </c>
      <c r="E106" s="11" t="s">
        <v>4588</v>
      </c>
      <c r="F106" s="11"/>
      <c r="G106" s="11" t="s">
        <v>4456</v>
      </c>
    </row>
  </sheetData>
  <autoFilter ref="A4:G106"/>
  <conditionalFormatting sqref="F5:F106">
    <cfRule type="expression" priority="2" aboveAverage="0" equalAverage="0" bottom="0" percent="0" rank="0" text="" dxfId="9">
      <formula>ISNUMBER(SEARCH("GA",F5))</formula>
    </cfRule>
    <cfRule type="expression" priority="3" aboveAverage="0" equalAverage="0" bottom="0" percent="0" rank="0" text="" dxfId="10">
      <formula>ISNUMBER(SEARCH("Beta",F5))</formula>
    </cfRule>
    <cfRule type="expression" priority="4" aboveAverage="0" equalAverage="0" bottom="0" percent="0" rank="0" text="" dxfId="11">
      <formula>ISNUMBER(SEARCH("Marketing",F5))</formula>
    </cfRule>
    <cfRule type="expression" priority="5" aboveAverage="0" equalAverage="0" bottom="0" percent="0" rank="0" text="" dxfId="12">
      <formula>LEFT(F5,4)="None"</formula>
    </cfRule>
  </conditionalFormatting>
  <hyperlinks>
    <hyperlink ref="D5" r:id="rId1" display="https://www.arnica.io/"/>
    <hyperlink ref="D6" r:id="rId2" display="https://www.coderabbit.ai/security"/>
    <hyperlink ref="D7" r:id="rId3" display="https://cursor.com/bugbot"/>
    <hyperlink ref="D8" r:id="rId4" display="https://www.endorlabs.com/use-case/sast"/>
    <hyperlink ref="D9" r:id="rId5" display="https://www.greptile.com/"/>
    <hyperlink ref="D10" r:id="rId6" display="https://www.kodemsecurity.com/platform/sast"/>
    <hyperlink ref="D11" r:id="rId7" display="https://zeropath.com/"/>
    <hyperlink ref="D12" r:id="rId8" display="https://www.opengrep.dev/"/>
    <hyperlink ref="D13" r:id="rId9" display="https://air.security/"/>
    <hyperlink ref="D14" r:id="rId10" display="https://www.echo.ai/"/>
    <hyperlink ref="D15" r:id="rId11" display="https://konvu.com/"/>
    <hyperlink ref="D16" r:id="rId12" display="https://safedep.io/"/>
    <hyperlink ref="D17" r:id="rId13" display="https://www.cremit.io/"/>
    <hyperlink ref="D18" r:id="rId14" display="https://github.com/betterleaks/betterleaks"/>
    <hyperlink ref="D19" r:id="rId15" display="https://air.security"/>
    <hyperlink ref="D20" r:id="rId16" display="https://noma.security/"/>
    <hyperlink ref="D21" r:id="rId17" display="https://www.oligo.security/"/>
    <hyperlink ref="D22" r:id="rId18" display="https://safeguard.sh/"/>
    <hyperlink ref="D23" r:id="rId19" display="https://zeropath.com/products/aibom"/>
    <hyperlink ref="D24" r:id="rId20" display="https://github.com/msaad00/agent-bom"/>
    <hyperlink ref="D25" r:id="rId21" display="https://owasp-genai-aibom.org"/>
    <hyperlink ref="D26" r:id="rId22" display="https://github.com/awslabs/threat-modeling-mcp-server"/>
    <hyperlink ref="D27" r:id="rId23" display="https://www.devarmor.com/"/>
    <hyperlink ref="D28" r:id="rId24" display="https://cloudsecurityalliance.org/blog/2025/02/06/agentic-ai-threat-modeling-framework-maestro"/>
    <hyperlink ref="D29" r:id="rId25" display="https://www.oplane.com/"/>
    <hyperlink ref="D30" r:id="rId26" display="https://genai.owasp.org/initiatives/agentic-security-initiative/"/>
    <hyperlink ref="D31" r:id="rId27" display="https://www.primesec.ai/"/>
    <hyperlink ref="D32" r:id="rId28" display="https://seezo.io/"/>
    <hyperlink ref="D33" r:id="rId29" display="https://www.precogly.org/"/>
    <hyperlink ref="D34" r:id="rId30" display="https://github.com/RedHatProductSecurity/agentic-threat-modeling"/>
    <hyperlink ref="D35" r:id="rId31" display="https://www.primesec.ai/"/>
    <hyperlink ref="D36" r:id="rId32" display="https://www.remysec.com/"/>
    <hyperlink ref="D37" r:id="rId33" display="https://seezo.io/"/>
    <hyperlink ref="D38" r:id="rId34" display="https://www.amplify.security/"/>
    <hyperlink ref="D39" r:id="rId35" display="https://aptori.com/"/>
    <hyperlink ref="D40" r:id="rId36" display="https://clover.security/"/>
    <hyperlink ref="D41" r:id="rId37" display="https://corgea.com/"/>
    <hyperlink ref="D42" r:id="rId38" display="https://dryrun.security/"/>
    <hyperlink ref="D43" r:id="rId39" display="https://gomboc.ai/"/>
    <hyperlink ref="D44" r:id="rId40" display="https://www.nullify.ai/"/>
    <hyperlink ref="D45" r:id="rId41" display="https://zeropath.com/"/>
    <hyperlink ref="D46" r:id="rId42" display="https://www.endorlabs.com/use-case/sast"/>
    <hyperlink ref="D47" r:id="rId43" display="https://www.kodemsecurity.com/platform/sast"/>
    <hyperlink ref="D48" r:id="rId44" display="https://www.arnica.io/"/>
    <hyperlink ref="D49" r:id="rId45" display="https://www.greptile.com/"/>
    <hyperlink ref="D50" r:id="rId46" display="https://cycode.com/platform/sast/"/>
    <hyperlink ref="D51" r:id="rId47" display="https://www.sonarsource.com/products/sonarqube/"/>
    <hyperlink ref="D52" r:id="rId48" display="https://snyk.io/"/>
    <hyperlink ref="D53" r:id="rId49" display="https://checkmarx.com/product/checkmarx-one-assist/"/>
    <hyperlink ref="D54" r:id="rId50" display="https://www.blackduck.com/signal-ai-appsec.html"/>
    <hyperlink ref="D55" r:id="rId51" display="https://www.opentext.com/products/application-security-aviator"/>
    <hyperlink ref="D56" r:id="rId52" display="https://www.hcl-software.com/appscan/products/rapidfix"/>
    <hyperlink ref="D57" r:id="rId53" display="https://safedep.io/"/>
    <hyperlink ref="D58" r:id="rId54" display="https://www.echohq.com/"/>
    <hyperlink ref="D59" r:id="rId55" display="https://air.security/"/>
    <hyperlink ref="D60" r:id="rId56" display="https://www.minimus.io/"/>
    <hyperlink ref="D61" r:id="rId57" display="https://www.rapidfort.com/"/>
    <hyperlink ref="D62" r:id="rId58" display="https://securitybrief.co.uk/story/ossprey-raises-usd-2-65-million-for-supply-chain-security"/>
    <hyperlink ref="D63" r:id="rId59" display="https://www.cremit.io/"/>
    <hyperlink ref="D64" r:id="rId60" display="https://www.geordie.ai/"/>
    <hyperlink ref="D65" r:id="rId61" display="https://www.defakto.security/"/>
    <hyperlink ref="D66" r:id="rId62" display="https://www.token.security/"/>
    <hyperlink ref="D67" r:id="rId63" display="https://www.clutch.security/"/>
    <hyperlink ref="D69" r:id="rId64" display="https://www.obsidiansecurity.com/"/>
    <hyperlink ref="D70" r:id="rId65" display="https://www.helpnetsecurity.com/2026/09/25/new-infosec-products-of-the-month-september-2026/"/>
    <hyperlink ref="D71" r:id="rId66" display="https://www.helpnetsecurity.com/2026/09/25/new-infosec-products-of-the-month-september-2026/"/>
    <hyperlink ref="D72" r:id="rId67" display="https://www.helpnetsecurity.com/2026/09/25/new-infosec-products-of-the-month-september-2026/"/>
    <hyperlink ref="D78" r:id="rId68" display="https://github.com/cisco-ai-defense/aibom"/>
    <hyperlink ref="D89" r:id="rId69" display="https://www.helpnetsecurity.com/2026/03/23/apiiro-ai-threat-modeling/"/>
    <hyperlink ref="D90" r:id="rId70" display="https://docs.sdelements.com/release/latest/guide/docs/release_notes/"/>
    <hyperlink ref="D96" r:id="rId71" display="https://zeropath.com/"/>
    <hyperlink ref="D97" r:id="rId72" display="https://corgea.com/"/>
    <hyperlink ref="D98" r:id="rId73" display="https://aptori.com/"/>
    <hyperlink ref="D99" r:id="rId74" display="https://www.nullify.ai/"/>
    <hyperlink ref="D100" r:id="rId75" display="https://gomboc.ai/"/>
    <hyperlink ref="D101" r:id="rId76" display="https://appsecsanta.com/aspm-tools"/>
    <hyperlink ref="D102" r:id="rId77" display="https://appsecsanta.com/aspm-tools"/>
    <hyperlink ref="D103" r:id="rId78" display="https://www.endorlabs.com/"/>
    <hyperlink ref="D104" r:id="rId79" display="https://www.globenewswire.com/news-release/2026/09/21/3365510/0/en/varonis-recognized-as-a-pace-setter-in-the-gartner-emerging-market-quadrant-for-ai-application-security-established-vendors.html"/>
    <hyperlink ref="D105" r:id="rId80" display="https://www.pillar.security/blog/pillar-security-named-as-a-2026-gartner-r-cool-vendor-in-ai-software-security"/>
    <hyperlink ref="D106" r:id="rId81" display="https://pulse2.com/pulse-security-raises-8-million-seed-funding-and-launches-ai-platform-for-ciso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50"/>
  </cols>
  <sheetData>
    <row r="1" customFormat="false" ht="19.7" hidden="false" customHeight="false" outlineLevel="0" collapsed="false">
      <c r="A1" s="1" t="s">
        <v>4589</v>
      </c>
    </row>
    <row r="2" customFormat="false" ht="15" hidden="false" customHeight="false" outlineLevel="0" collapsed="false">
      <c r="A2" s="2" t="s">
        <v>4590</v>
      </c>
    </row>
    <row r="4" customFormat="false" ht="31.5" hidden="false" customHeight="true" outlineLevel="0" collapsed="false">
      <c r="A4" s="7" t="s">
        <v>57</v>
      </c>
      <c r="B4" s="7" t="s">
        <v>4591</v>
      </c>
      <c r="C4" s="7" t="s">
        <v>4592</v>
      </c>
    </row>
    <row r="5" customFormat="false" ht="195" hidden="false" customHeight="true" outlineLevel="0" collapsed="false">
      <c r="A5" s="11" t="s">
        <v>30</v>
      </c>
      <c r="B5" s="8" t="s">
        <v>4593</v>
      </c>
      <c r="C5" s="11" t="s">
        <v>4594</v>
      </c>
    </row>
    <row r="6" customFormat="false" ht="195" hidden="false" customHeight="true" outlineLevel="0" collapsed="false">
      <c r="A6" s="11" t="s">
        <v>30</v>
      </c>
      <c r="B6" s="8" t="s">
        <v>4595</v>
      </c>
      <c r="C6" s="11" t="s">
        <v>4596</v>
      </c>
    </row>
    <row r="7" customFormat="false" ht="48.75" hidden="false" customHeight="true" outlineLevel="0" collapsed="false">
      <c r="A7" s="11" t="s">
        <v>30</v>
      </c>
      <c r="B7" s="8" t="s">
        <v>4597</v>
      </c>
      <c r="C7" s="11" t="s">
        <v>74</v>
      </c>
    </row>
    <row r="8" customFormat="false" ht="36" hidden="false" customHeight="true" outlineLevel="0" collapsed="false">
      <c r="A8" s="11" t="s">
        <v>30</v>
      </c>
      <c r="B8" s="8" t="s">
        <v>4598</v>
      </c>
      <c r="C8" s="11" t="s">
        <v>4599</v>
      </c>
    </row>
    <row r="9" customFormat="false" ht="300" hidden="false" customHeight="true" outlineLevel="0" collapsed="false">
      <c r="A9" s="11" t="s">
        <v>30</v>
      </c>
      <c r="B9" s="8" t="s">
        <v>18</v>
      </c>
      <c r="C9" s="11" t="s">
        <v>4600</v>
      </c>
    </row>
    <row r="10" customFormat="false" ht="60.75" hidden="false" customHeight="true" outlineLevel="0" collapsed="false">
      <c r="A10" s="11" t="s">
        <v>30</v>
      </c>
      <c r="B10" s="8" t="s">
        <v>4601</v>
      </c>
      <c r="C10" s="11" t="s">
        <v>4602</v>
      </c>
    </row>
    <row r="11" customFormat="false" ht="219" hidden="false" customHeight="true" outlineLevel="0" collapsed="false">
      <c r="A11" s="11" t="s">
        <v>32</v>
      </c>
      <c r="B11" s="8" t="s">
        <v>4593</v>
      </c>
      <c r="C11" s="11" t="s">
        <v>4603</v>
      </c>
    </row>
    <row r="12" customFormat="false" ht="158.25" hidden="false" customHeight="true" outlineLevel="0" collapsed="false">
      <c r="A12" s="11" t="s">
        <v>32</v>
      </c>
      <c r="B12" s="8" t="s">
        <v>4604</v>
      </c>
      <c r="C12" s="11" t="s">
        <v>4605</v>
      </c>
    </row>
    <row r="13" customFormat="false" ht="48.75" hidden="false" customHeight="true" outlineLevel="0" collapsed="false">
      <c r="A13" s="11" t="s">
        <v>32</v>
      </c>
      <c r="B13" s="8" t="s">
        <v>4597</v>
      </c>
      <c r="C13" s="11" t="s">
        <v>83</v>
      </c>
    </row>
    <row r="14" customFormat="false" ht="267.75" hidden="false" customHeight="true" outlineLevel="0" collapsed="false">
      <c r="A14" s="11" t="s">
        <v>32</v>
      </c>
      <c r="B14" s="8" t="s">
        <v>4606</v>
      </c>
      <c r="C14" s="11" t="s">
        <v>4607</v>
      </c>
    </row>
    <row r="15" customFormat="false" ht="97.5" hidden="false" customHeight="true" outlineLevel="0" collapsed="false">
      <c r="A15" s="11" t="s">
        <v>32</v>
      </c>
      <c r="B15" s="8" t="s">
        <v>4608</v>
      </c>
      <c r="C15" s="11" t="s">
        <v>4609</v>
      </c>
    </row>
    <row r="16" customFormat="false" ht="158.25" hidden="false" customHeight="true" outlineLevel="0" collapsed="false">
      <c r="A16" s="11" t="s">
        <v>34</v>
      </c>
      <c r="B16" s="8" t="s">
        <v>4593</v>
      </c>
      <c r="C16" s="11" t="s">
        <v>4610</v>
      </c>
    </row>
    <row r="17" customFormat="false" ht="109.5" hidden="false" customHeight="true" outlineLevel="0" collapsed="false">
      <c r="A17" s="11" t="s">
        <v>34</v>
      </c>
      <c r="B17" s="8" t="s">
        <v>4611</v>
      </c>
      <c r="C17" s="11" t="s">
        <v>4612</v>
      </c>
    </row>
    <row r="18" customFormat="false" ht="24" hidden="false" customHeight="true" outlineLevel="0" collapsed="false">
      <c r="A18" s="11" t="s">
        <v>34</v>
      </c>
      <c r="B18" s="8" t="s">
        <v>4597</v>
      </c>
      <c r="C18" s="11" t="s">
        <v>91</v>
      </c>
    </row>
    <row r="19" customFormat="false" ht="300" hidden="false" customHeight="true" outlineLevel="0" collapsed="false">
      <c r="A19" s="11" t="s">
        <v>34</v>
      </c>
      <c r="B19" s="8" t="s">
        <v>4613</v>
      </c>
      <c r="C19" s="11" t="s">
        <v>4614</v>
      </c>
    </row>
    <row r="20" customFormat="false" ht="36" hidden="false" customHeight="true" outlineLevel="0" collapsed="false">
      <c r="A20" s="11" t="s">
        <v>34</v>
      </c>
      <c r="B20" s="8" t="s">
        <v>4615</v>
      </c>
      <c r="C20" s="11" t="s">
        <v>4616</v>
      </c>
    </row>
    <row r="21" customFormat="false" ht="243.75" hidden="false" customHeight="true" outlineLevel="0" collapsed="false">
      <c r="A21" s="11" t="s">
        <v>36</v>
      </c>
      <c r="B21" s="8" t="s">
        <v>4593</v>
      </c>
      <c r="C21" s="11" t="s">
        <v>4617</v>
      </c>
    </row>
    <row r="22" customFormat="false" ht="146.25" hidden="false" customHeight="true" outlineLevel="0" collapsed="false">
      <c r="A22" s="11" t="s">
        <v>36</v>
      </c>
      <c r="B22" s="8" t="s">
        <v>4618</v>
      </c>
      <c r="C22" s="11" t="s">
        <v>4619</v>
      </c>
    </row>
    <row r="23" customFormat="false" ht="121.5" hidden="false" customHeight="true" outlineLevel="0" collapsed="false">
      <c r="A23" s="11" t="s">
        <v>36</v>
      </c>
      <c r="B23" s="8" t="s">
        <v>4620</v>
      </c>
      <c r="C23" s="11" t="s">
        <v>4621</v>
      </c>
    </row>
    <row r="24" customFormat="false" ht="24" hidden="false" customHeight="true" outlineLevel="0" collapsed="false">
      <c r="A24" s="11" t="s">
        <v>36</v>
      </c>
      <c r="B24" s="8" t="s">
        <v>4597</v>
      </c>
      <c r="C24" s="11" t="s">
        <v>98</v>
      </c>
    </row>
    <row r="25" customFormat="false" ht="300" hidden="false" customHeight="true" outlineLevel="0" collapsed="false">
      <c r="A25" s="11" t="s">
        <v>36</v>
      </c>
      <c r="B25" s="8" t="s">
        <v>4613</v>
      </c>
      <c r="C25" s="11" t="s">
        <v>4622</v>
      </c>
    </row>
    <row r="26" customFormat="false" ht="36" hidden="false" customHeight="true" outlineLevel="0" collapsed="false">
      <c r="A26" s="11" t="s">
        <v>36</v>
      </c>
      <c r="B26" s="8" t="s">
        <v>4623</v>
      </c>
      <c r="C26" s="11" t="s">
        <v>4624</v>
      </c>
    </row>
    <row r="27" customFormat="false" ht="24" hidden="false" customHeight="true" outlineLevel="0" collapsed="false">
      <c r="A27" s="11" t="s">
        <v>36</v>
      </c>
      <c r="B27" s="8" t="s">
        <v>4625</v>
      </c>
      <c r="C27" s="11" t="s">
        <v>4626</v>
      </c>
    </row>
    <row r="28" customFormat="false" ht="146.25" hidden="false" customHeight="true" outlineLevel="0" collapsed="false">
      <c r="A28" s="11" t="s">
        <v>38</v>
      </c>
      <c r="B28" s="8" t="s">
        <v>4593</v>
      </c>
      <c r="C28" s="11" t="s">
        <v>4627</v>
      </c>
    </row>
    <row r="29" customFormat="false" ht="109.5" hidden="false" customHeight="true" outlineLevel="0" collapsed="false">
      <c r="A29" s="11" t="s">
        <v>38</v>
      </c>
      <c r="B29" s="8" t="s">
        <v>4611</v>
      </c>
      <c r="C29" s="11" t="s">
        <v>4628</v>
      </c>
    </row>
    <row r="30" customFormat="false" ht="24" hidden="false" customHeight="true" outlineLevel="0" collapsed="false">
      <c r="A30" s="11" t="s">
        <v>38</v>
      </c>
      <c r="B30" s="8" t="s">
        <v>4597</v>
      </c>
      <c r="C30" s="11" t="s">
        <v>111</v>
      </c>
    </row>
    <row r="31" customFormat="false" ht="24" hidden="false" customHeight="true" outlineLevel="0" collapsed="false">
      <c r="A31" s="11" t="s">
        <v>38</v>
      </c>
      <c r="B31" s="8" t="s">
        <v>4629</v>
      </c>
      <c r="C31" s="11" t="s">
        <v>4630</v>
      </c>
    </row>
    <row r="32" customFormat="false" ht="243.75" hidden="false" customHeight="true" outlineLevel="0" collapsed="false">
      <c r="A32" s="11" t="s">
        <v>38</v>
      </c>
      <c r="B32" s="8" t="s">
        <v>4613</v>
      </c>
      <c r="C32" s="11" t="s">
        <v>4631</v>
      </c>
    </row>
    <row r="33" customFormat="false" ht="24" hidden="false" customHeight="true" outlineLevel="0" collapsed="false">
      <c r="A33" s="11" t="s">
        <v>38</v>
      </c>
      <c r="B33" s="8" t="s">
        <v>4632</v>
      </c>
      <c r="C33" s="11" t="s">
        <v>4633</v>
      </c>
    </row>
    <row r="34" customFormat="false" ht="48.75" hidden="false" customHeight="true" outlineLevel="0" collapsed="false">
      <c r="A34" s="11" t="s">
        <v>38</v>
      </c>
      <c r="B34" s="8" t="s">
        <v>4634</v>
      </c>
      <c r="C34" s="11" t="s">
        <v>4635</v>
      </c>
    </row>
    <row r="35" customFormat="false" ht="158.25" hidden="false" customHeight="true" outlineLevel="0" collapsed="false">
      <c r="A35" s="11" t="s">
        <v>40</v>
      </c>
      <c r="B35" s="8" t="s">
        <v>4593</v>
      </c>
      <c r="C35" s="11" t="s">
        <v>4636</v>
      </c>
    </row>
    <row r="36" customFormat="false" ht="109.5" hidden="false" customHeight="true" outlineLevel="0" collapsed="false">
      <c r="A36" s="11" t="s">
        <v>40</v>
      </c>
      <c r="B36" s="8" t="s">
        <v>4611</v>
      </c>
      <c r="C36" s="11" t="s">
        <v>4637</v>
      </c>
    </row>
    <row r="37" customFormat="false" ht="24" hidden="false" customHeight="true" outlineLevel="0" collapsed="false">
      <c r="A37" s="11" t="s">
        <v>40</v>
      </c>
      <c r="B37" s="8" t="s">
        <v>4638</v>
      </c>
      <c r="C37" s="11" t="s">
        <v>118</v>
      </c>
    </row>
    <row r="38" customFormat="false" ht="170.25" hidden="false" customHeight="true" outlineLevel="0" collapsed="false">
      <c r="A38" s="11" t="s">
        <v>40</v>
      </c>
      <c r="B38" s="8" t="s">
        <v>4613</v>
      </c>
      <c r="C38" s="11" t="s">
        <v>4639</v>
      </c>
    </row>
    <row r="39" customFormat="false" ht="24" hidden="false" customHeight="true" outlineLevel="0" collapsed="false">
      <c r="A39" s="11" t="s">
        <v>40</v>
      </c>
      <c r="B39" s="8" t="s">
        <v>4640</v>
      </c>
      <c r="C39" s="11" t="s">
        <v>4641</v>
      </c>
    </row>
    <row r="40" customFormat="false" ht="243.75" hidden="false" customHeight="true" outlineLevel="0" collapsed="false">
      <c r="A40" s="11" t="s">
        <v>42</v>
      </c>
      <c r="B40" s="8" t="s">
        <v>4593</v>
      </c>
      <c r="C40" s="11" t="s">
        <v>4642</v>
      </c>
    </row>
    <row r="41" customFormat="false" ht="195" hidden="false" customHeight="true" outlineLevel="0" collapsed="false">
      <c r="A41" s="11" t="s">
        <v>42</v>
      </c>
      <c r="B41" s="8" t="s">
        <v>4643</v>
      </c>
      <c r="C41" s="11" t="s">
        <v>4644</v>
      </c>
    </row>
    <row r="42" customFormat="false" ht="170.25" hidden="false" customHeight="true" outlineLevel="0" collapsed="false">
      <c r="A42" s="11" t="s">
        <v>42</v>
      </c>
      <c r="B42" s="8" t="s">
        <v>4645</v>
      </c>
      <c r="C42" s="11" t="s">
        <v>4646</v>
      </c>
    </row>
    <row r="43" customFormat="false" ht="48.75" hidden="false" customHeight="true" outlineLevel="0" collapsed="false">
      <c r="A43" s="11" t="s">
        <v>42</v>
      </c>
      <c r="B43" s="8" t="s">
        <v>4597</v>
      </c>
      <c r="C43" s="11" t="s">
        <v>124</v>
      </c>
    </row>
    <row r="44" customFormat="false" ht="300" hidden="false" customHeight="true" outlineLevel="0" collapsed="false">
      <c r="A44" s="11" t="s">
        <v>42</v>
      </c>
      <c r="B44" s="8" t="s">
        <v>4613</v>
      </c>
      <c r="C44" s="11" t="s">
        <v>4647</v>
      </c>
    </row>
    <row r="45" customFormat="false" ht="72.75" hidden="false" customHeight="true" outlineLevel="0" collapsed="false">
      <c r="A45" s="11" t="s">
        <v>42</v>
      </c>
      <c r="B45" s="8" t="s">
        <v>4625</v>
      </c>
      <c r="C45" s="11" t="s">
        <v>4648</v>
      </c>
    </row>
  </sheetData>
  <autoFilter ref="A4:C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0"/>
  </cols>
  <sheetData>
    <row r="1" customFormat="false" ht="19.7" hidden="false" customHeight="false" outlineLevel="0" collapsed="false">
      <c r="A1" s="1" t="s">
        <v>4649</v>
      </c>
    </row>
    <row r="3" customFormat="false" ht="48.75" hidden="false" customHeight="true" outlineLevel="0" collapsed="false">
      <c r="A3" s="3" t="s">
        <v>4650</v>
      </c>
      <c r="B3" s="4" t="s">
        <v>4651</v>
      </c>
    </row>
    <row r="4" customFormat="false" ht="24" hidden="false" customHeight="true" outlineLevel="0" collapsed="false">
      <c r="A4" s="3" t="s">
        <v>4652</v>
      </c>
      <c r="B4" s="4" t="s">
        <v>4653</v>
      </c>
    </row>
    <row r="5" customFormat="false" ht="36" hidden="false" customHeight="true" outlineLevel="0" collapsed="false">
      <c r="A5" s="3" t="s">
        <v>4654</v>
      </c>
      <c r="B5" s="4" t="s">
        <v>4655</v>
      </c>
    </row>
    <row r="6" customFormat="false" ht="15" hidden="false" customHeight="true" outlineLevel="0" collapsed="false">
      <c r="A6" s="3" t="s">
        <v>4656</v>
      </c>
      <c r="B6" s="4" t="s">
        <v>4657</v>
      </c>
    </row>
    <row r="7" customFormat="false" ht="15" hidden="false" customHeight="true" outlineLevel="0" collapsed="false">
      <c r="A7" s="3" t="s">
        <v>4658</v>
      </c>
      <c r="B7" s="4" t="s">
        <v>4659</v>
      </c>
    </row>
    <row r="9" customFormat="false" ht="15" hidden="false" customHeight="false" outlineLevel="0" collapsed="false">
      <c r="A9" s="5" t="s">
        <v>4660</v>
      </c>
    </row>
    <row r="10" customFormat="false" ht="31.5" hidden="false" customHeight="true" outlineLevel="0" collapsed="false">
      <c r="A10" s="7" t="s">
        <v>57</v>
      </c>
      <c r="B10" s="7" t="s">
        <v>4661</v>
      </c>
    </row>
    <row r="11" customFormat="false" ht="36" hidden="false" customHeight="true" outlineLevel="0" collapsed="false">
      <c r="A11" s="3" t="s">
        <v>30</v>
      </c>
      <c r="B11" s="4" t="s">
        <v>4599</v>
      </c>
    </row>
    <row r="12" customFormat="false" ht="60.75" hidden="false" customHeight="true" outlineLevel="0" collapsed="false">
      <c r="A12" s="3" t="s">
        <v>30</v>
      </c>
      <c r="B12" s="4" t="s">
        <v>4602</v>
      </c>
    </row>
    <row r="13" customFormat="false" ht="15" hidden="false" customHeight="true" outlineLevel="0" collapsed="false">
      <c r="A13" s="3" t="s">
        <v>32</v>
      </c>
      <c r="B13" s="4" t="s">
        <v>4662</v>
      </c>
    </row>
    <row r="14" customFormat="false" ht="15" hidden="false" customHeight="true" outlineLevel="0" collapsed="false">
      <c r="A14" s="3" t="s">
        <v>32</v>
      </c>
      <c r="B14" s="4" t="s">
        <v>4663</v>
      </c>
    </row>
    <row r="15" customFormat="false" ht="15" hidden="false" customHeight="true" outlineLevel="0" collapsed="false">
      <c r="A15" s="3" t="s">
        <v>32</v>
      </c>
      <c r="B15" s="4" t="s">
        <v>4664</v>
      </c>
    </row>
    <row r="16" customFormat="false" ht="15" hidden="false" customHeight="true" outlineLevel="0" collapsed="false">
      <c r="A16" s="3" t="s">
        <v>32</v>
      </c>
      <c r="B16" s="4" t="s">
        <v>4665</v>
      </c>
    </row>
    <row r="17" customFormat="false" ht="15" hidden="false" customHeight="true" outlineLevel="0" collapsed="false">
      <c r="A17" s="3" t="s">
        <v>32</v>
      </c>
      <c r="B17" s="4" t="s">
        <v>4666</v>
      </c>
    </row>
    <row r="18" customFormat="false" ht="15" hidden="false" customHeight="true" outlineLevel="0" collapsed="false">
      <c r="A18" s="3" t="s">
        <v>32</v>
      </c>
      <c r="B18" s="4" t="s">
        <v>4667</v>
      </c>
    </row>
    <row r="19" customFormat="false" ht="24" hidden="false" customHeight="true" outlineLevel="0" collapsed="false">
      <c r="A19" s="3" t="s">
        <v>32</v>
      </c>
      <c r="B19" s="4" t="s">
        <v>4668</v>
      </c>
    </row>
    <row r="20" customFormat="false" ht="36" hidden="false" customHeight="true" outlineLevel="0" collapsed="false">
      <c r="A20" s="3" t="s">
        <v>34</v>
      </c>
      <c r="B20" s="4" t="s">
        <v>4616</v>
      </c>
    </row>
    <row r="21" customFormat="false" ht="24" hidden="false" customHeight="true" outlineLevel="0" collapsed="false">
      <c r="A21" s="3" t="s">
        <v>36</v>
      </c>
      <c r="B21" s="4" t="s">
        <v>4626</v>
      </c>
    </row>
    <row r="22" customFormat="false" ht="15" hidden="false" customHeight="true" outlineLevel="0" collapsed="false">
      <c r="A22" s="3" t="s">
        <v>38</v>
      </c>
      <c r="B22" s="4" t="s">
        <v>4669</v>
      </c>
    </row>
    <row r="23" customFormat="false" ht="15" hidden="false" customHeight="true" outlineLevel="0" collapsed="false">
      <c r="A23" s="3" t="s">
        <v>38</v>
      </c>
      <c r="B23" s="4" t="s">
        <v>4670</v>
      </c>
    </row>
    <row r="24" customFormat="false" ht="15" hidden="false" customHeight="true" outlineLevel="0" collapsed="false">
      <c r="A24" s="3" t="s">
        <v>38</v>
      </c>
      <c r="B24" s="4" t="s">
        <v>4671</v>
      </c>
    </row>
    <row r="25" customFormat="false" ht="15" hidden="false" customHeight="true" outlineLevel="0" collapsed="false">
      <c r="A25" s="3" t="s">
        <v>38</v>
      </c>
      <c r="B25" s="4" t="s">
        <v>4672</v>
      </c>
    </row>
    <row r="26" customFormat="false" ht="24" hidden="false" customHeight="true" outlineLevel="0" collapsed="false">
      <c r="A26" s="3" t="s">
        <v>40</v>
      </c>
      <c r="B26" s="4" t="s">
        <v>4641</v>
      </c>
    </row>
    <row r="27" customFormat="false" ht="24" hidden="false" customHeight="true" outlineLevel="0" collapsed="false">
      <c r="A27" s="3" t="s">
        <v>42</v>
      </c>
      <c r="B27" s="4" t="s">
        <v>4673</v>
      </c>
    </row>
    <row r="28" customFormat="false" ht="15" hidden="false" customHeight="true" outlineLevel="0" collapsed="false">
      <c r="A28" s="3" t="s">
        <v>42</v>
      </c>
      <c r="B28" s="4" t="s">
        <v>4674</v>
      </c>
    </row>
    <row r="29" customFormat="false" ht="24" hidden="false" customHeight="true" outlineLevel="0" collapsed="false">
      <c r="A29" s="3" t="s">
        <v>42</v>
      </c>
      <c r="B29" s="4" t="s">
        <v>4675</v>
      </c>
    </row>
    <row r="30" customFormat="false" ht="15" hidden="false" customHeight="true" outlineLevel="0" collapsed="false">
      <c r="A30" s="3" t="s">
        <v>42</v>
      </c>
      <c r="B30" s="4" t="s">
        <v>4676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2026-10-19T03:00:58Z</dcterms:created>
  <dc:creator>openpyxl</dc:creator>
  <dc:description/>
  <dc:language>en-US</dc:language>
  <cp:lastModifiedBy/>
  <dcterms:modified xsi:type="dcterms:W3CDTF">2026-10-19T03:00:59Z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